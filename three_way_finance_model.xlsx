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DTM" sheetId="3" state="visible" r:id="rId3"/>
    <sheet name="Projects" sheetId="4" state="visible" r:id="rId4"/>
    <sheet name="Capex" sheetId="5" state="visible" r:id="rId5"/>
    <sheet name="Fixed Assets" sheetId="6" state="visible" r:id="rId6"/>
    <sheet name="Workforce" sheetId="7" state="visible" r:id="rId7"/>
    <sheet name="Maintenance" sheetId="8" state="visible" r:id="rId8"/>
    <sheet name="REFM" sheetId="9" state="visible" r:id="rId9"/>
    <sheet name="Frontier" sheetId="10" state="visible" r:id="rId10"/>
    <sheet name="RAB" sheetId="11" state="visible" r:id="rId11"/>
    <sheet name="PTRM" sheetId="12" state="visible" r:id="rId12"/>
    <sheet name="Initiatives" sheetId="13" state="visible" r:id="rId13"/>
    <sheet name="Income Statement" sheetId="14" state="visible" r:id="rId14"/>
    <sheet name="Balance Sheet" sheetId="15" state="visible" r:id="rId15"/>
    <sheet name="Cash Flow" sheetId="16" state="visible" r:id="rId16"/>
    <sheet name="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0"/>
    <numFmt numFmtId="166" formatCode="#,##0;(#,##0)"/>
    <numFmt numFmtId="167" formatCode="#,##0;[RED](#,##0)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20"/>
    </font>
    <font>
      <name val="Calibri"/>
      <color rgb="00AAD4F5"/>
      <sz val="13"/>
    </font>
    <font>
      <name val="Calibri"/>
      <b val="1"/>
      <color rgb="00AAD4F5"/>
      <sz val="11"/>
    </font>
    <font>
      <name val="Calibri"/>
      <color rgb="00FFFFFF"/>
      <sz val="11"/>
    </font>
    <font>
      <name val="Calibri"/>
      <b val="1"/>
      <color rgb="00FFD700"/>
      <sz val="12"/>
    </font>
    <font>
      <name val="Calibri"/>
      <b val="1"/>
      <color rgb="00FFD700"/>
      <sz val="10"/>
    </font>
    <font>
      <name val="Calibri"/>
      <color rgb="00CCCCCC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595959"/>
      <sz val="10"/>
    </font>
    <font>
      <name val="Calibri"/>
      <b val="1"/>
      <color rgb="00003366"/>
      <sz val="10"/>
    </font>
    <font>
      <name val="Calibri"/>
      <color rgb="00000000"/>
      <sz val="10"/>
    </font>
    <font>
      <name val="Calibri"/>
      <color rgb="001B6B1B"/>
      <sz val="10"/>
    </font>
    <font>
      <name val="Calibri"/>
      <i val="1"/>
      <color rgb="00595959"/>
      <sz val="10"/>
    </font>
    <font>
      <name val="Calibri"/>
      <i val="1"/>
      <color rgb="00595959"/>
      <sz val="9"/>
    </font>
    <font>
      <name val="Calibri"/>
      <b val="1"/>
      <i val="1"/>
      <color rgb="00595959"/>
      <sz val="10"/>
    </font>
    <font>
      <name val="Calibri"/>
      <b val="1"/>
      <color rgb="00000000"/>
      <sz val="10"/>
    </font>
  </fonts>
  <fills count="24">
    <fill>
      <patternFill/>
    </fill>
    <fill>
      <patternFill patternType="gray125"/>
    </fill>
    <fill>
      <patternFill patternType="solid">
        <fgColor rgb="00001F4D"/>
      </patternFill>
    </fill>
    <fill>
      <patternFill patternType="solid">
        <fgColor rgb="00FFD700"/>
      </patternFill>
    </fill>
    <fill>
      <patternFill patternType="solid">
        <fgColor rgb="0000336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1F5C8B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4A4A8A"/>
      </patternFill>
    </fill>
    <fill>
      <patternFill patternType="solid">
        <fgColor rgb="002E6B3E"/>
      </patternFill>
    </fill>
    <fill>
      <patternFill patternType="solid">
        <fgColor rgb="008B4513"/>
      </patternFill>
    </fill>
    <fill>
      <patternFill patternType="solid">
        <fgColor rgb="007030A0"/>
      </patternFill>
    </fill>
    <fill>
      <patternFill patternType="solid">
        <fgColor rgb="00FF6600"/>
      </patternFill>
    </fill>
    <fill>
      <patternFill patternType="solid">
        <fgColor rgb="007B3F00"/>
      </patternFill>
    </fill>
    <fill>
      <patternFill patternType="solid">
        <fgColor rgb="000070C0"/>
      </patternFill>
    </fill>
    <fill>
      <patternFill patternType="solid">
        <fgColor rgb="00B22222"/>
      </patternFill>
    </fill>
    <fill>
      <patternFill patternType="solid">
        <fgColor rgb="00F0F0F0"/>
      </patternFill>
    </fill>
    <fill>
      <patternFill patternType="solid">
        <fgColor rgb="00C0000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5" borderId="0" pivotButton="0" quotePrefix="0" xfId="0"/>
    <xf numFmtId="0" fontId="0" fillId="5" borderId="0" pivotButton="0" quotePrefix="0" xfId="0"/>
    <xf numFmtId="0" fontId="13" fillId="0" borderId="0" applyAlignment="1" pivotButton="0" quotePrefix="0" xfId="0">
      <alignment horizontal="left" vertical="center"/>
    </xf>
    <xf numFmtId="164" fontId="14" fillId="6" borderId="0" applyAlignment="1" pivotButton="0" quotePrefix="0" xfId="0">
      <alignment horizontal="right" vertical="center"/>
    </xf>
    <xf numFmtId="4" fontId="14" fillId="6" borderId="0" applyAlignment="1" pivotButton="0" quotePrefix="0" xfId="0">
      <alignment horizontal="right" vertical="center"/>
    </xf>
    <xf numFmtId="164" fontId="13" fillId="7" borderId="0" applyAlignment="1" pivotButton="0" quotePrefix="0" xfId="0">
      <alignment horizontal="right" vertical="center"/>
    </xf>
    <xf numFmtId="165" fontId="14" fillId="6" borderId="0" applyAlignment="1" pivotButton="0" quotePrefix="0" xfId="0">
      <alignment horizontal="right" vertical="center"/>
    </xf>
    <xf numFmtId="164" fontId="15" fillId="8" borderId="0" applyAlignment="1" pivotButton="0" quotePrefix="0" xfId="0">
      <alignment horizontal="right" vertical="center"/>
    </xf>
    <xf numFmtId="3" fontId="15" fillId="8" borderId="0" applyAlignment="1" pivotButton="0" quotePrefix="0" xfId="0">
      <alignment horizontal="right" vertical="center"/>
    </xf>
    <xf numFmtId="3" fontId="14" fillId="6" borderId="0" applyAlignment="1" pivotButton="0" quotePrefix="0" xfId="0">
      <alignment horizontal="right" vertical="center"/>
    </xf>
    <xf numFmtId="4" fontId="15" fillId="8" borderId="0" applyAlignment="1" pivotButton="0" quotePrefix="0" xfId="0">
      <alignment horizontal="right" vertical="center"/>
    </xf>
    <xf numFmtId="166" fontId="15" fillId="8" borderId="0" applyAlignment="1" pivotButton="0" quotePrefix="0" xfId="0">
      <alignment horizontal="right" vertical="center"/>
    </xf>
    <xf numFmtId="166" fontId="14" fillId="6" borderId="0" applyAlignment="1" pivotButton="0" quotePrefix="0" xfId="0">
      <alignment horizontal="right" vertical="center"/>
    </xf>
    <xf numFmtId="0" fontId="16" fillId="9" borderId="0" applyAlignment="1" pivotButton="0" quotePrefix="0" xfId="0">
      <alignment horizontal="left" vertical="center"/>
    </xf>
    <xf numFmtId="10" fontId="15" fillId="8" borderId="0" applyAlignment="1" pivotButton="0" quotePrefix="0" xfId="0">
      <alignment horizontal="right" vertical="center"/>
    </xf>
    <xf numFmtId="10" fontId="14" fillId="6" borderId="0" applyAlignment="1" pivotButton="0" quotePrefix="0" xfId="0">
      <alignment horizontal="right" vertical="center"/>
    </xf>
    <xf numFmtId="10" fontId="13" fillId="7" borderId="0" applyAlignment="1" pivotButton="0" quotePrefix="0" xfId="0">
      <alignment horizontal="right" vertical="center"/>
    </xf>
    <xf numFmtId="10" fontId="17" fillId="8" borderId="0" applyAlignment="1" pivotButton="0" quotePrefix="0" xfId="0">
      <alignment horizontal="right" vertical="center"/>
    </xf>
    <xf numFmtId="10" fontId="18" fillId="7" borderId="0" applyAlignment="1" pivotButton="0" quotePrefix="0" xfId="0">
      <alignment horizontal="right" vertical="center"/>
    </xf>
    <xf numFmtId="3" fontId="13" fillId="7" borderId="0" applyAlignment="1" pivotButton="0" quotePrefix="0" xfId="0">
      <alignment horizontal="right" vertical="center"/>
    </xf>
    <xf numFmtId="0" fontId="9" fillId="10" borderId="0" applyAlignment="1" pivotButton="0" quotePrefix="0" xfId="0">
      <alignment horizontal="left" vertical="center"/>
    </xf>
    <xf numFmtId="0" fontId="0" fillId="4" borderId="0" pivotButton="0" quotePrefix="0" xfId="0"/>
    <xf numFmtId="0" fontId="18" fillId="0" borderId="0" pivotButton="0" quotePrefix="0" xfId="0"/>
    <xf numFmtId="0" fontId="13" fillId="11" borderId="0" applyAlignment="1" pivotButton="0" quotePrefix="0" xfId="0">
      <alignment horizontal="left" vertical="center"/>
    </xf>
    <xf numFmtId="166" fontId="13" fillId="7" borderId="0" applyAlignment="1" pivotButton="0" quotePrefix="0" xfId="0">
      <alignment horizontal="right" vertical="center"/>
    </xf>
    <xf numFmtId="0" fontId="13" fillId="12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166" fontId="17" fillId="8" borderId="0" applyAlignment="1" pivotButton="0" quotePrefix="0" xfId="0">
      <alignment horizontal="right" vertical="center"/>
    </xf>
    <xf numFmtId="166" fontId="18" fillId="5" borderId="0" applyAlignment="1" pivotButton="0" quotePrefix="0" xfId="0">
      <alignment horizontal="right" vertical="center"/>
    </xf>
    <xf numFmtId="0" fontId="16" fillId="0" borderId="0" pivotButton="0" quotePrefix="0" xfId="0"/>
    <xf numFmtId="166" fontId="18" fillId="12" borderId="0" applyAlignment="1" pivotButton="0" quotePrefix="0" xfId="0">
      <alignment horizontal="right" vertical="center"/>
    </xf>
    <xf numFmtId="166" fontId="18" fillId="7" borderId="0" applyAlignment="1" pivotButton="0" quotePrefix="0" xfId="0">
      <alignment horizontal="right" vertical="center"/>
    </xf>
    <xf numFmtId="0" fontId="9" fillId="13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left" vertical="center"/>
    </xf>
    <xf numFmtId="3" fontId="17" fillId="8" borderId="0" applyAlignment="1" pivotButton="0" quotePrefix="0" xfId="0">
      <alignment horizontal="right" vertical="center"/>
    </xf>
    <xf numFmtId="3" fontId="18" fillId="7" borderId="0" applyAlignment="1" pivotButton="0" quotePrefix="0" xfId="0">
      <alignment horizontal="right" vertical="center"/>
    </xf>
    <xf numFmtId="0" fontId="9" fillId="15" borderId="0" applyAlignment="1" pivotButton="0" quotePrefix="0" xfId="0">
      <alignment horizontal="left" vertical="center"/>
    </xf>
    <xf numFmtId="0" fontId="9" fillId="16" borderId="0" applyAlignment="1" pivotButton="0" quotePrefix="0" xfId="0">
      <alignment horizontal="left" vertical="center"/>
    </xf>
    <xf numFmtId="0" fontId="9" fillId="17" borderId="0" applyAlignment="1" pivotButton="0" quotePrefix="0" xfId="0">
      <alignment horizontal="left" vertical="center"/>
    </xf>
    <xf numFmtId="0" fontId="9" fillId="18" borderId="0" applyAlignment="1" pivotButton="0" quotePrefix="0" xfId="0">
      <alignment horizontal="left" vertical="center"/>
    </xf>
    <xf numFmtId="0" fontId="9" fillId="19" borderId="0" applyAlignment="1" pivotButton="0" quotePrefix="0" xfId="0">
      <alignment horizontal="left" vertical="center"/>
    </xf>
    <xf numFmtId="0" fontId="9" fillId="20" borderId="0" applyAlignment="1" pivotButton="0" quotePrefix="0" xfId="0">
      <alignment horizontal="left" vertical="center"/>
    </xf>
    <xf numFmtId="0" fontId="12" fillId="21" borderId="0" pivotButton="0" quotePrefix="0" xfId="0"/>
    <xf numFmtId="0" fontId="0" fillId="21" borderId="0" pivotButton="0" quotePrefix="0" xfId="0"/>
    <xf numFmtId="0" fontId="9" fillId="22" borderId="0" applyAlignment="1" pivotButton="0" quotePrefix="0" xfId="0">
      <alignment horizontal="left" vertical="center"/>
    </xf>
    <xf numFmtId="167" fontId="18" fillId="8" borderId="0" applyAlignment="1" pivotButton="0" quotePrefix="0" xfId="0">
      <alignment horizontal="right" vertical="center"/>
    </xf>
    <xf numFmtId="167" fontId="18" fillId="2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Q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32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42" customHeight="1">
      <c r="A4" s="1" t="n"/>
      <c r="B4" s="2" t="inlineStr">
        <is>
          <t>ELECTRICITY GRID TRANSMISSION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6" customHeight="1">
      <c r="A5" s="1" t="n"/>
      <c r="B5" s="3" t="inlineStr">
        <is>
          <t>THREE-WAY CORPORATE FINANCE MODEL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A7" s="1" t="n"/>
      <c r="B7" s="4" t="inlineStr">
        <is>
          <t>Australian Energy Regulator (AER) | PTRM | REFM | Frontier | RAB | DTM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3" customHeight="1">
      <c r="A9" s="1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1" t="n"/>
      <c r="O9" s="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20" customHeight="1">
      <c r="A12" s="1" t="n"/>
      <c r="B12" s="6" t="inlineStr">
        <is>
          <t>Company</t>
        </is>
      </c>
      <c r="C12" s="7" t="inlineStr">
        <is>
          <t>GridCo Transmission Pty Ltd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20" customHeight="1">
      <c r="A14" s="1" t="n"/>
      <c r="B14" s="6" t="inlineStr">
        <is>
          <t>ABN</t>
        </is>
      </c>
      <c r="C14" s="7" t="inlineStr">
        <is>
          <t>12 345 678 901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20" customHeight="1">
      <c r="A16" s="1" t="n"/>
      <c r="B16" s="6" t="inlineStr">
        <is>
          <t>Version</t>
        </is>
      </c>
      <c r="C16" s="7" t="inlineStr">
        <is>
          <t>v1.0  |  AER DTM Integrated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20" customHeight="1">
      <c r="A18" s="1" t="n"/>
      <c r="B18" s="6" t="inlineStr">
        <is>
          <t>Date</t>
        </is>
      </c>
      <c r="C18" s="7" t="inlineStr">
        <is>
          <t>05 April 2026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20" customHeight="1">
      <c r="A20" s="1" t="n"/>
      <c r="B20" s="6" t="inlineStr">
        <is>
          <t>Scope</t>
        </is>
      </c>
      <c r="C20" s="7" t="inlineStr">
        <is>
          <t>FY2019A-FY2023A Historical  |  FY2024E-FY2033E Forecast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20" customHeight="1">
      <c r="A22" s="1" t="n"/>
      <c r="B22" s="6" t="inlineStr">
        <is>
          <t>Reg Periods</t>
        </is>
      </c>
      <c r="C22" s="7" t="inlineStr">
        <is>
          <t>RCP1: FY2024-FY2028  |  RCP2: FY2029-FY2033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20" customHeight="1">
      <c r="A24" s="1" t="n"/>
      <c r="B24" s="6" t="inlineStr">
        <is>
          <t>Jurisdiction</t>
        </is>
      </c>
      <c r="C24" s="7" t="inlineStr">
        <is>
          <t>Australia — AER Regulated Transmission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20" customHeight="1">
      <c r="A26" s="1" t="n"/>
      <c r="B26" s="6" t="inlineStr">
        <is>
          <t>Currency</t>
        </is>
      </c>
      <c r="C26" s="7" t="inlineStr">
        <is>
          <t>AUD Millions (unless stated)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8" t="inlineStr">
        <is>
          <t>MODEL NAVIGATION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9" t="inlineStr">
        <is>
          <t>Assumptions</t>
        </is>
      </c>
      <c r="C34" s="10" t="inlineStr">
        <is>
          <t>All inputs — the ONLY cells to change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9" t="inlineStr">
        <is>
          <t>DTM</t>
        </is>
      </c>
      <c r="C35" s="10" t="inlineStr">
        <is>
          <t>AER Debt Term Model: 10yr trailing avg cost of debt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9" t="inlineStr">
        <is>
          <t>REFM</t>
        </is>
      </c>
      <c r="C36" s="10" t="inlineStr">
        <is>
          <t>Revenue &amp; Expenditure Forecasting Model (opex/capex)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9" t="inlineStr">
        <is>
          <t>Frontier</t>
        </is>
      </c>
      <c r="C37" s="10" t="inlineStr">
        <is>
          <t>Frontier efficiency shift and X-factor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9" t="inlineStr">
        <is>
          <t>RAB</t>
        </is>
      </c>
      <c r="C38" s="10" t="inlineStr">
        <is>
          <t>Regulatory Asset Base roll-forward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9" t="inlineStr">
        <is>
          <t>PTRM</t>
        </is>
      </c>
      <c r="C39" s="10" t="inlineStr">
        <is>
          <t>Post Tax Revenue Model — Maximum Allowed Revenue (MAR)</t>
        </is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9" t="inlineStr">
        <is>
          <t>Income Statement</t>
        </is>
      </c>
      <c r="C40" s="10" t="inlineStr">
        <is>
          <t>5yr historical + 10yr forecast P&amp;L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9" t="inlineStr">
        <is>
          <t>Balance Sheet</t>
        </is>
      </c>
      <c r="C41" s="10" t="inlineStr">
        <is>
          <t>5yr historical + 10yr forecast Balance Sheet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9" t="inlineStr">
        <is>
          <t>Cash Flow</t>
        </is>
      </c>
      <c r="C42" s="10" t="inlineStr">
        <is>
          <t>5yr historical + 10yr forecast Cash Flow</t>
        </is>
      </c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9" t="inlineStr">
        <is>
          <t>Checks</t>
        </is>
      </c>
      <c r="C43" s="10" t="inlineStr">
        <is>
          <t>Model integrity: BS, CFS &amp; RAB checks</t>
        </is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Q7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1" t="inlineStr">
        <is>
          <t>ASSUMPTIONS — Electricity Grid Transmission Utility (AER Framework)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WACC &amp; Regulatory Parameters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>Post-Tax Nominal WACC (%)</t>
        </is>
      </c>
      <c r="B5" s="18" t="n">
        <v>0.065</v>
      </c>
    </row>
    <row r="6">
      <c r="A6" s="17" t="inlineStr">
        <is>
          <t xml:space="preserve">  Risk-Free Rate (%)</t>
        </is>
      </c>
      <c r="B6" s="18" t="n">
        <v>0.043</v>
      </c>
    </row>
    <row r="7">
      <c r="A7" s="17" t="inlineStr">
        <is>
          <t xml:space="preserve">  Equity Risk Premium (%)</t>
        </is>
      </c>
      <c r="B7" s="18" t="n">
        <v>0.062</v>
      </c>
    </row>
    <row r="8">
      <c r="A8" s="17" t="inlineStr">
        <is>
          <t xml:space="preserve">  Asset Beta</t>
        </is>
      </c>
      <c r="B8" s="19" t="n">
        <v>0.45</v>
      </c>
    </row>
    <row r="9">
      <c r="A9" s="17" t="inlineStr">
        <is>
          <t>Gearing — Debt % of Capital</t>
        </is>
      </c>
      <c r="B9" s="18" t="n">
        <v>0.55</v>
      </c>
    </row>
    <row r="10">
      <c r="A10" s="17" t="inlineStr">
        <is>
          <t>Equity % of Capital</t>
        </is>
      </c>
      <c r="B10" s="20">
        <f>1-B9</f>
        <v/>
      </c>
    </row>
    <row r="11">
      <c r="A11" s="17" t="inlineStr">
        <is>
          <t>Gamma (AER Imputation Credits)</t>
        </is>
      </c>
      <c r="B11" s="21" t="n">
        <v>0.585</v>
      </c>
    </row>
    <row r="12">
      <c r="A12" s="17" t="inlineStr">
        <is>
          <t>Corporate Tax Rate (%)</t>
        </is>
      </c>
      <c r="B12" s="18" t="n">
        <v>0.3</v>
      </c>
    </row>
    <row r="14" ht="16" customHeight="1">
      <c r="A14" s="15" t="inlineStr">
        <is>
          <t>CPI Inflation (%)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>
      <c r="A15" s="17" t="inlineStr">
        <is>
          <t>CPI Rate (%)</t>
        </is>
      </c>
      <c r="B15" s="22" t="n">
        <v>0.015</v>
      </c>
      <c r="C15" s="22" t="n">
        <v>0.017</v>
      </c>
      <c r="D15" s="22" t="n">
        <v>0.018</v>
      </c>
      <c r="E15" s="22" t="n">
        <v>0.03</v>
      </c>
      <c r="F15" s="22" t="n">
        <v>0.06</v>
      </c>
      <c r="G15" s="18" t="n">
        <v>0.025</v>
      </c>
      <c r="H15" s="18" t="n">
        <v>0.025</v>
      </c>
      <c r="I15" s="18" t="n">
        <v>0.025</v>
      </c>
      <c r="J15" s="18" t="n">
        <v>0.025</v>
      </c>
      <c r="K15" s="18" t="n">
        <v>0.025</v>
      </c>
      <c r="L15" s="18" t="n">
        <v>0.025</v>
      </c>
      <c r="M15" s="18" t="n">
        <v>0.025</v>
      </c>
      <c r="N15" s="18" t="n">
        <v>0.025</v>
      </c>
      <c r="O15" s="18" t="n">
        <v>0.025</v>
      </c>
      <c r="P15" s="18" t="n">
        <v>0.025</v>
      </c>
    </row>
    <row r="17" ht="16" customHeight="1">
      <c r="A17" s="15" t="inlineStr">
        <is>
          <t>Revenue &amp; Volumes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>
      <c r="A18" s="17" t="inlineStr">
        <is>
          <t>Transmission Volume (GWh)</t>
        </is>
      </c>
      <c r="B18" s="23" t="n">
        <v>48000</v>
      </c>
      <c r="C18" s="23" t="n">
        <v>49000</v>
      </c>
      <c r="D18" s="23" t="n">
        <v>50000</v>
      </c>
      <c r="E18" s="23" t="n">
        <v>51000</v>
      </c>
      <c r="F18" s="23" t="n">
        <v>52000</v>
      </c>
      <c r="G18" s="24" t="n">
        <v>52000</v>
      </c>
      <c r="H18" s="24" t="n">
        <v>53000</v>
      </c>
      <c r="I18" s="24" t="n">
        <v>54000</v>
      </c>
      <c r="J18" s="24" t="n">
        <v>55000</v>
      </c>
      <c r="K18" s="24" t="n">
        <v>56000</v>
      </c>
      <c r="L18" s="24" t="n">
        <v>57000</v>
      </c>
      <c r="M18" s="24" t="n">
        <v>58000</v>
      </c>
      <c r="N18" s="24" t="n">
        <v>59000</v>
      </c>
      <c r="O18" s="24" t="n">
        <v>60000</v>
      </c>
      <c r="P18" s="24" t="n">
        <v>61000</v>
      </c>
    </row>
    <row r="19">
      <c r="A19" s="17" t="inlineStr">
        <is>
          <t>Average Tariff ($/MWh)</t>
        </is>
      </c>
      <c r="B19" s="25" t="n">
        <v>12</v>
      </c>
      <c r="C19" s="25" t="n">
        <v>12.3</v>
      </c>
      <c r="D19" s="25" t="n">
        <v>12.7</v>
      </c>
      <c r="E19" s="25" t="n">
        <v>13</v>
      </c>
      <c r="F19" s="25" t="n">
        <v>13.2</v>
      </c>
      <c r="G19" s="19" t="n">
        <v>13.2</v>
      </c>
      <c r="H19" s="19" t="n">
        <v>13.5</v>
      </c>
      <c r="I19" s="19" t="n">
        <v>13.8</v>
      </c>
      <c r="J19" s="19" t="n">
        <v>14.1</v>
      </c>
      <c r="K19" s="19" t="n">
        <v>14.4</v>
      </c>
      <c r="L19" s="19" t="n">
        <v>14.7</v>
      </c>
      <c r="M19" s="19" t="n">
        <v>15</v>
      </c>
      <c r="N19" s="19" t="n">
        <v>15.3</v>
      </c>
      <c r="O19" s="19" t="n">
        <v>15.6</v>
      </c>
      <c r="P19" s="19" t="n">
        <v>15.9</v>
      </c>
    </row>
    <row r="20">
      <c r="A20" s="17" t="inlineStr">
        <is>
          <t>Connection &amp; Access Fees ($M)</t>
        </is>
      </c>
      <c r="B20" s="26" t="n">
        <v>6</v>
      </c>
      <c r="C20" s="26" t="n">
        <v>6.5</v>
      </c>
      <c r="D20" s="26" t="n">
        <v>7</v>
      </c>
      <c r="E20" s="26" t="n">
        <v>7.5</v>
      </c>
      <c r="F20" s="26" t="n">
        <v>8</v>
      </c>
      <c r="G20" s="27" t="n">
        <v>8</v>
      </c>
      <c r="H20" s="27" t="n">
        <v>8.199999999999999</v>
      </c>
      <c r="I20" s="27" t="n">
        <v>8.4</v>
      </c>
      <c r="J20" s="27" t="n">
        <v>8.6</v>
      </c>
      <c r="K20" s="27" t="n">
        <v>8.800000000000001</v>
      </c>
      <c r="L20" s="27" t="n">
        <v>9</v>
      </c>
      <c r="M20" s="27" t="n">
        <v>9.199999999999999</v>
      </c>
      <c r="N20" s="27" t="n">
        <v>9.4</v>
      </c>
      <c r="O20" s="27" t="n">
        <v>9.6</v>
      </c>
      <c r="P20" s="27" t="n">
        <v>9.800000000000001</v>
      </c>
    </row>
    <row r="22" ht="16" customHeight="1">
      <c r="A22" s="15" t="inlineStr">
        <is>
          <t>Opex Forecast Allowances (Nominal $M)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>
      <c r="A23" s="17" t="inlineStr">
        <is>
          <t xml:space="preserve">  Network O&amp;M</t>
        </is>
      </c>
      <c r="G23" s="27" t="n">
        <v>100</v>
      </c>
      <c r="H23" s="27" t="n">
        <v>102</v>
      </c>
      <c r="I23" s="27" t="n">
        <v>104</v>
      </c>
      <c r="J23" s="27" t="n">
        <v>106</v>
      </c>
      <c r="K23" s="27" t="n">
        <v>108</v>
      </c>
      <c r="L23" s="27" t="n">
        <v>110</v>
      </c>
      <c r="M23" s="27" t="n">
        <v>112</v>
      </c>
      <c r="N23" s="27" t="n">
        <v>114</v>
      </c>
      <c r="O23" s="27" t="n">
        <v>116</v>
      </c>
      <c r="P23" s="27" t="n">
        <v>118</v>
      </c>
    </row>
    <row r="24">
      <c r="A24" s="17" t="inlineStr">
        <is>
          <t xml:space="preserve">  Corporate</t>
        </is>
      </c>
      <c r="G24" s="27" t="n">
        <v>58</v>
      </c>
      <c r="H24" s="27" t="n">
        <v>59</v>
      </c>
      <c r="I24" s="27" t="n">
        <v>60</v>
      </c>
      <c r="J24" s="27" t="n">
        <v>61</v>
      </c>
      <c r="K24" s="27" t="n">
        <v>62</v>
      </c>
      <c r="L24" s="27" t="n">
        <v>63</v>
      </c>
      <c r="M24" s="27" t="n">
        <v>64</v>
      </c>
      <c r="N24" s="27" t="n">
        <v>65</v>
      </c>
      <c r="O24" s="27" t="n">
        <v>66</v>
      </c>
      <c r="P24" s="27" t="n">
        <v>67</v>
      </c>
    </row>
    <row r="25">
      <c r="A25" s="17" t="inlineStr">
        <is>
          <t xml:space="preserve">  Insurance</t>
        </is>
      </c>
      <c r="G25" s="27" t="n">
        <v>20</v>
      </c>
      <c r="H25" s="27" t="n">
        <v>20</v>
      </c>
      <c r="I25" s="27" t="n">
        <v>21</v>
      </c>
      <c r="J25" s="27" t="n">
        <v>21</v>
      </c>
      <c r="K25" s="27" t="n">
        <v>22</v>
      </c>
      <c r="L25" s="27" t="n">
        <v>22</v>
      </c>
      <c r="M25" s="27" t="n">
        <v>23</v>
      </c>
      <c r="N25" s="27" t="n">
        <v>23</v>
      </c>
      <c r="O25" s="27" t="n">
        <v>24</v>
      </c>
      <c r="P25" s="27" t="n">
        <v>24</v>
      </c>
    </row>
    <row r="26">
      <c r="A26" s="17" t="inlineStr">
        <is>
          <t xml:space="preserve">  Regulatory</t>
        </is>
      </c>
      <c r="G26" s="27" t="n">
        <v>10</v>
      </c>
      <c r="H26" s="27" t="n">
        <v>10</v>
      </c>
      <c r="I26" s="27" t="n">
        <v>10</v>
      </c>
      <c r="J26" s="27" t="n">
        <v>10</v>
      </c>
      <c r="K26" s="27" t="n">
        <v>10</v>
      </c>
      <c r="L26" s="27" t="n">
        <v>11</v>
      </c>
      <c r="M26" s="27" t="n">
        <v>11</v>
      </c>
      <c r="N26" s="27" t="n">
        <v>11</v>
      </c>
      <c r="O26" s="27" t="n">
        <v>11</v>
      </c>
      <c r="P26" s="27" t="n">
        <v>11</v>
      </c>
    </row>
    <row r="28" ht="16" customHeight="1">
      <c r="A28" s="15" t="inlineStr">
        <is>
          <t>Capex Programme — Forecast (Nominal $M)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s="17" t="inlineStr">
        <is>
          <t xml:space="preserve">  Augmentation</t>
        </is>
      </c>
      <c r="G29" s="27" t="n">
        <v>200</v>
      </c>
      <c r="H29" s="27" t="n">
        <v>210</v>
      </c>
      <c r="I29" s="27" t="n">
        <v>220</v>
      </c>
      <c r="J29" s="27" t="n">
        <v>230</v>
      </c>
      <c r="K29" s="27" t="n">
        <v>240</v>
      </c>
      <c r="L29" s="27" t="n">
        <v>250</v>
      </c>
      <c r="M29" s="27" t="n">
        <v>260</v>
      </c>
      <c r="N29" s="27" t="n">
        <v>270</v>
      </c>
      <c r="O29" s="27" t="n">
        <v>280</v>
      </c>
      <c r="P29" s="27" t="n">
        <v>290</v>
      </c>
    </row>
    <row r="30">
      <c r="A30" s="17" t="inlineStr">
        <is>
          <t xml:space="preserve">  Replacement</t>
        </is>
      </c>
      <c r="G30" s="27" t="n">
        <v>160</v>
      </c>
      <c r="H30" s="27" t="n">
        <v>165</v>
      </c>
      <c r="I30" s="27" t="n">
        <v>170</v>
      </c>
      <c r="J30" s="27" t="n">
        <v>175</v>
      </c>
      <c r="K30" s="27" t="n">
        <v>180</v>
      </c>
      <c r="L30" s="27" t="n">
        <v>185</v>
      </c>
      <c r="M30" s="27" t="n">
        <v>190</v>
      </c>
      <c r="N30" s="27" t="n">
        <v>195</v>
      </c>
      <c r="O30" s="27" t="n">
        <v>200</v>
      </c>
      <c r="P30" s="27" t="n">
        <v>205</v>
      </c>
    </row>
    <row r="31">
      <c r="A31" s="17" t="inlineStr">
        <is>
          <t xml:space="preserve">  Connections</t>
        </is>
      </c>
      <c r="G31" s="27" t="n">
        <v>45</v>
      </c>
      <c r="H31" s="27" t="n">
        <v>47</v>
      </c>
      <c r="I31" s="27" t="n">
        <v>48</v>
      </c>
      <c r="J31" s="27" t="n">
        <v>50</v>
      </c>
      <c r="K31" s="27" t="n">
        <v>52</v>
      </c>
      <c r="L31" s="27" t="n">
        <v>54</v>
      </c>
      <c r="M31" s="27" t="n">
        <v>56</v>
      </c>
      <c r="N31" s="27" t="n">
        <v>58</v>
      </c>
      <c r="O31" s="27" t="n">
        <v>60</v>
      </c>
      <c r="P31" s="27" t="n">
        <v>62</v>
      </c>
    </row>
    <row r="33" ht="16" customHeight="1">
      <c r="A33" s="15" t="inlineStr">
        <is>
          <t>Regulatory Asset Base — Opening Balances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>
      <c r="A34" s="17" t="inlineStr">
        <is>
          <t>Opening RAB — FY2019 ($M)</t>
        </is>
      </c>
      <c r="B34" s="27" t="n">
        <v>4800</v>
      </c>
    </row>
    <row r="35">
      <c r="A35" s="17" t="inlineStr">
        <is>
          <t>Standard Asset Life (years)</t>
        </is>
      </c>
      <c r="B35" s="24" t="n">
        <v>40</v>
      </c>
    </row>
    <row r="36">
      <c r="A36" s="17" t="inlineStr">
        <is>
          <t>Opening Accum. Regulatory Dep. ($M)</t>
        </is>
      </c>
      <c r="B36" s="27" t="n">
        <v>1200</v>
      </c>
    </row>
    <row r="38" ht="16" customHeight="1">
      <c r="A38" s="15" t="inlineStr">
        <is>
          <t>Accounting PP&amp;E — Opening Balances (FY2019)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>
      <c r="A39" s="17" t="inlineStr">
        <is>
          <t>Opening Gross PP&amp;E ($M)</t>
        </is>
      </c>
      <c r="B39" s="27" t="n">
        <v>7800</v>
      </c>
    </row>
    <row r="40">
      <c r="A40" s="17" t="inlineStr">
        <is>
          <t>Opening Accum. D&amp;A ($M)</t>
        </is>
      </c>
      <c r="B40" s="27" t="n">
        <v>2600</v>
      </c>
    </row>
    <row r="41">
      <c r="A41" s="17" t="inlineStr">
        <is>
          <t>Accounting Asset Life (years)</t>
        </is>
      </c>
      <c r="B41" s="24" t="n">
        <v>35</v>
      </c>
    </row>
    <row r="43" ht="16" customHeight="1">
      <c r="A43" s="15" t="inlineStr">
        <is>
          <t>Financing Parameters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>
      <c r="A44" s="17" t="inlineStr">
        <is>
          <t>Opening LT Debt — FY2019 ($M)</t>
        </is>
      </c>
      <c r="B44" s="27" t="n">
        <v>3500</v>
      </c>
    </row>
    <row r="45">
      <c r="A45" s="17" t="inlineStr">
        <is>
          <t>Opening Cash — FY2019 ($M)</t>
        </is>
      </c>
      <c r="B45" s="27" t="n">
        <v>120</v>
      </c>
    </row>
    <row r="46">
      <c r="A46" s="17" t="inlineStr">
        <is>
          <t>Nominal Cost of Debt (%)</t>
        </is>
      </c>
      <c r="B46" s="18" t="n">
        <v>0.055</v>
      </c>
    </row>
    <row r="47">
      <c r="A47" s="17" t="inlineStr">
        <is>
          <t>Dividend Payout Ratio (%)</t>
        </is>
      </c>
      <c r="B47" s="18" t="n">
        <v>0.7</v>
      </c>
    </row>
    <row r="48">
      <c r="A48" s="17" t="inlineStr">
        <is>
          <t xml:space="preserve">  Annual Debt Issuances ($M)</t>
        </is>
      </c>
      <c r="G48" s="27" t="n">
        <v>350</v>
      </c>
      <c r="H48" s="27" t="n">
        <v>360</v>
      </c>
      <c r="I48" s="27" t="n">
        <v>370</v>
      </c>
      <c r="J48" s="27" t="n">
        <v>380</v>
      </c>
      <c r="K48" s="27" t="n">
        <v>390</v>
      </c>
      <c r="L48" s="27" t="n">
        <v>400</v>
      </c>
      <c r="M48" s="27" t="n">
        <v>410</v>
      </c>
      <c r="N48" s="27" t="n">
        <v>420</v>
      </c>
      <c r="O48" s="27" t="n">
        <v>430</v>
      </c>
      <c r="P48" s="27" t="n">
        <v>440</v>
      </c>
    </row>
    <row r="49">
      <c r="A49" s="17" t="inlineStr">
        <is>
          <t xml:space="preserve">  Annual Debt Repayments ($M)</t>
        </is>
      </c>
      <c r="G49" s="27" t="n">
        <v>280</v>
      </c>
      <c r="H49" s="27" t="n">
        <v>285</v>
      </c>
      <c r="I49" s="27" t="n">
        <v>290</v>
      </c>
      <c r="J49" s="27" t="n">
        <v>295</v>
      </c>
      <c r="K49" s="27" t="n">
        <v>300</v>
      </c>
      <c r="L49" s="27" t="n">
        <v>305</v>
      </c>
      <c r="M49" s="27" t="n">
        <v>310</v>
      </c>
      <c r="N49" s="27" t="n">
        <v>315</v>
      </c>
      <c r="O49" s="27" t="n">
        <v>320</v>
      </c>
      <c r="P49" s="27" t="n">
        <v>325</v>
      </c>
    </row>
    <row r="51" ht="16" customHeight="1">
      <c r="A51" s="15" t="inlineStr">
        <is>
          <t>Working Capital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>
      <c r="A52" s="17" t="inlineStr">
        <is>
          <t>Debtor Days (DSO)</t>
        </is>
      </c>
      <c r="B52" s="24" t="n">
        <v>45</v>
      </c>
    </row>
    <row r="53">
      <c r="A53" s="17" t="inlineStr">
        <is>
          <t>Creditor Days (DPO)</t>
        </is>
      </c>
      <c r="B53" s="24" t="n">
        <v>30</v>
      </c>
    </row>
    <row r="55" ht="16" customHeight="1">
      <c r="A55" s="15" t="inlineStr">
        <is>
          <t>Frontier Efficiency Parameters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>
      <c r="A56" s="17" t="inlineStr">
        <is>
          <t>Annual Frontier Shift (%)</t>
        </is>
      </c>
      <c r="B56" s="18" t="n">
        <v>0.005</v>
      </c>
    </row>
    <row r="57">
      <c r="A57" s="17" t="inlineStr">
        <is>
          <t>Opex Efficiency vs Frontier (%)</t>
        </is>
      </c>
      <c r="B57" s="18" t="n">
        <v>0.95</v>
      </c>
    </row>
    <row r="58">
      <c r="A58" s="17" t="inlineStr">
        <is>
          <t>Capex Efficiency vs Frontier (%)</t>
        </is>
      </c>
      <c r="B58" s="18" t="n">
        <v>0.95</v>
      </c>
    </row>
    <row r="60" ht="16" customHeight="1">
      <c r="A60" s="15" t="inlineStr">
        <is>
          <t>Historical Opex — Actual ($M Nominal)</t>
        </is>
      </c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>
      <c r="A61" s="17" t="inlineStr">
        <is>
          <t xml:space="preserve">  Network O&amp;M</t>
        </is>
      </c>
      <c r="B61" s="26" t="n">
        <v>89</v>
      </c>
      <c r="C61" s="26" t="n">
        <v>92</v>
      </c>
      <c r="D61" s="26" t="n">
        <v>95</v>
      </c>
      <c r="E61" s="26" t="n">
        <v>97</v>
      </c>
      <c r="F61" s="26" t="n">
        <v>100</v>
      </c>
    </row>
    <row r="62">
      <c r="A62" s="17" t="inlineStr">
        <is>
          <t xml:space="preserve">  Corporate</t>
        </is>
      </c>
      <c r="B62" s="26" t="n">
        <v>52</v>
      </c>
      <c r="C62" s="26" t="n">
        <v>53</v>
      </c>
      <c r="D62" s="26" t="n">
        <v>54</v>
      </c>
      <c r="E62" s="26" t="n">
        <v>56</v>
      </c>
      <c r="F62" s="26" t="n">
        <v>57</v>
      </c>
    </row>
    <row r="63">
      <c r="A63" s="17" t="inlineStr">
        <is>
          <t xml:space="preserve">  Insurance</t>
        </is>
      </c>
      <c r="B63" s="26" t="n">
        <v>18</v>
      </c>
      <c r="C63" s="26" t="n">
        <v>18</v>
      </c>
      <c r="D63" s="26" t="n">
        <v>18</v>
      </c>
      <c r="E63" s="26" t="n">
        <v>19</v>
      </c>
      <c r="F63" s="26" t="n">
        <v>19</v>
      </c>
    </row>
    <row r="64">
      <c r="A64" s="17" t="inlineStr">
        <is>
          <t xml:space="preserve">  Regulatory</t>
        </is>
      </c>
      <c r="B64" s="26" t="n">
        <v>9</v>
      </c>
      <c r="C64" s="26" t="n">
        <v>9</v>
      </c>
      <c r="D64" s="26" t="n">
        <v>9</v>
      </c>
      <c r="E64" s="26" t="n">
        <v>9</v>
      </c>
      <c r="F64" s="26" t="n">
        <v>9</v>
      </c>
    </row>
    <row r="66" ht="16" customHeight="1">
      <c r="A66" s="15" t="inlineStr">
        <is>
          <t>Historical Capex — Actual ($M Nominal)</t>
        </is>
      </c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>
      <c r="A67" s="17" t="inlineStr">
        <is>
          <t xml:space="preserve">  Augmentation</t>
        </is>
      </c>
      <c r="B67" s="26" t="n">
        <v>150</v>
      </c>
      <c r="C67" s="26" t="n">
        <v>165</v>
      </c>
      <c r="D67" s="26" t="n">
        <v>175</v>
      </c>
      <c r="E67" s="26" t="n">
        <v>185</v>
      </c>
      <c r="F67" s="26" t="n">
        <v>195</v>
      </c>
    </row>
    <row r="68">
      <c r="A68" s="17" t="inlineStr">
        <is>
          <t xml:space="preserve">  Replacement</t>
        </is>
      </c>
      <c r="B68" s="26" t="n">
        <v>100</v>
      </c>
      <c r="C68" s="26" t="n">
        <v>105</v>
      </c>
      <c r="D68" s="26" t="n">
        <v>115</v>
      </c>
      <c r="E68" s="26" t="n">
        <v>130</v>
      </c>
      <c r="F68" s="26" t="n">
        <v>145</v>
      </c>
    </row>
    <row r="69">
      <c r="A69" s="17" t="inlineStr">
        <is>
          <t xml:space="preserve">  Connections</t>
        </is>
      </c>
      <c r="B69" s="26" t="n">
        <v>30</v>
      </c>
      <c r="C69" s="26" t="n">
        <v>35</v>
      </c>
      <c r="D69" s="26" t="n">
        <v>40</v>
      </c>
      <c r="E69" s="26" t="n">
        <v>40</v>
      </c>
      <c r="F69" s="26" t="n">
        <v>40</v>
      </c>
    </row>
    <row r="71" ht="16" customHeight="1">
      <c r="A71" s="15" t="inlineStr">
        <is>
          <t>Historical Financing — Actual ($M)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</row>
    <row r="72">
      <c r="A72" s="17" t="inlineStr">
        <is>
          <t xml:space="preserve">  Debt Issuances</t>
        </is>
      </c>
      <c r="B72" s="26" t="n">
        <v>300</v>
      </c>
      <c r="C72" s="26" t="n">
        <v>310</v>
      </c>
      <c r="D72" s="26" t="n">
        <v>320</v>
      </c>
      <c r="E72" s="26" t="n">
        <v>340</v>
      </c>
      <c r="F72" s="26" t="n">
        <v>360</v>
      </c>
    </row>
    <row r="73">
      <c r="A73" s="17" t="inlineStr">
        <is>
          <t xml:space="preserve">  Debt Repayments</t>
        </is>
      </c>
      <c r="B73" s="26" t="n">
        <v>240</v>
      </c>
      <c r="C73" s="26" t="n">
        <v>245</v>
      </c>
      <c r="D73" s="26" t="n">
        <v>250</v>
      </c>
      <c r="E73" s="26" t="n">
        <v>260</v>
      </c>
      <c r="F73" s="26" t="n">
        <v>270</v>
      </c>
    </row>
    <row r="75" ht="16" customHeight="1">
      <c r="A75" s="15" t="inlineStr">
        <is>
          <t>Opening Balance Sheet (FY2019) — $M</t>
        </is>
      </c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>
      <c r="A76" s="17" t="inlineStr">
        <is>
          <t>Opening Retained Earnings ($M)</t>
        </is>
      </c>
      <c r="B76" s="27" t="n">
        <v>420</v>
      </c>
    </row>
    <row r="77">
      <c r="A77" s="17" t="inlineStr">
        <is>
          <t>Opening Share Capital ($M)</t>
        </is>
      </c>
      <c r="B77" s="27" t="n">
        <v>880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U2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26" customHeight="1">
      <c r="A1" s="11" t="inlineStr">
        <is>
          <t>DEBT TERM MODEL (DTM) — AER 10-Year Trailing Average Cost of Debt</t>
        </is>
      </c>
    </row>
    <row r="2" ht="20" customHeight="1">
      <c r="A2" s="12" t="inlineStr">
        <is>
          <t>% Rate</t>
        </is>
      </c>
      <c r="B2" s="13" t="inlineStr">
        <is>
          <t>FY2014A</t>
        </is>
      </c>
      <c r="C2" s="13" t="inlineStr">
        <is>
          <t>FY2015A</t>
        </is>
      </c>
      <c r="D2" s="13" t="inlineStr">
        <is>
          <t>FY2016A</t>
        </is>
      </c>
      <c r="E2" s="13" t="inlineStr">
        <is>
          <t>FY2017A</t>
        </is>
      </c>
      <c r="F2" s="13" t="inlineStr">
        <is>
          <t>FY2018A</t>
        </is>
      </c>
      <c r="G2" s="13" t="inlineStr">
        <is>
          <t>FY2019A</t>
        </is>
      </c>
      <c r="H2" s="13" t="inlineStr">
        <is>
          <t>FY2020A</t>
        </is>
      </c>
      <c r="I2" s="13" t="inlineStr">
        <is>
          <t>FY2021A</t>
        </is>
      </c>
      <c r="J2" s="13" t="inlineStr">
        <is>
          <t>FY2022A</t>
        </is>
      </c>
      <c r="K2" s="13" t="inlineStr">
        <is>
          <t>FY2023A</t>
        </is>
      </c>
      <c r="L2" s="14" t="inlineStr">
        <is>
          <t>FY2024E</t>
        </is>
      </c>
      <c r="M2" s="14" t="inlineStr">
        <is>
          <t>FY2025E</t>
        </is>
      </c>
      <c r="N2" s="14" t="inlineStr">
        <is>
          <t>FY2026E</t>
        </is>
      </c>
      <c r="O2" s="14" t="inlineStr">
        <is>
          <t>FY2027E</t>
        </is>
      </c>
      <c r="P2" s="14" t="inlineStr">
        <is>
          <t>FY2028E</t>
        </is>
      </c>
      <c r="Q2" s="14" t="inlineStr">
        <is>
          <t>FY2029E</t>
        </is>
      </c>
      <c r="R2" s="14" t="inlineStr">
        <is>
          <t>FY2030E</t>
        </is>
      </c>
      <c r="S2" s="14" t="inlineStr">
        <is>
          <t>FY2031E</t>
        </is>
      </c>
      <c r="T2" s="14" t="inlineStr">
        <is>
          <t>FY2032E</t>
        </is>
      </c>
      <c r="U2" s="14" t="inlineStr">
        <is>
          <t>FY2033E</t>
        </is>
      </c>
    </row>
    <row r="3">
      <c r="A3" s="28" t="inlineStr">
        <is>
          <t>AER methodology: WACD = 10-year trailing average of benchmark bond yields (CGS + DRP + issuance costs). Each year 1/10th of total debt is re-priced at prevailing market rates.</t>
        </is>
      </c>
    </row>
    <row r="5">
      <c r="A5" s="15" t="inlineStr">
        <is>
          <t>COMPONENT YIELDS BY VINTAGE YEAR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</row>
    <row r="6">
      <c r="A6" s="17" t="inlineStr">
        <is>
          <t xml:space="preserve">  Risk-Free Rate — 10yr CGS Yield (%)</t>
        </is>
      </c>
      <c r="B6" s="29" t="n">
        <v>0.035</v>
      </c>
      <c r="C6" s="29" t="n">
        <v>0.03</v>
      </c>
      <c r="D6" s="29" t="n">
        <v>0.025</v>
      </c>
      <c r="E6" s="29" t="n">
        <v>0.027</v>
      </c>
      <c r="F6" s="29" t="n">
        <v>0.029</v>
      </c>
      <c r="G6" s="29" t="n">
        <v>0.017</v>
      </c>
      <c r="H6" s="29" t="n">
        <v>0.009000000000000001</v>
      </c>
      <c r="I6" s="29" t="n">
        <v>0.018</v>
      </c>
      <c r="J6" s="29" t="n">
        <v>0.03700000000000001</v>
      </c>
      <c r="K6" s="29" t="n">
        <v>0.043</v>
      </c>
      <c r="L6" s="30" t="n">
        <v>0.04</v>
      </c>
      <c r="M6" s="30" t="n">
        <v>0.038</v>
      </c>
      <c r="N6" s="30" t="n">
        <v>0.03700000000000001</v>
      </c>
      <c r="O6" s="30" t="n">
        <v>0.036</v>
      </c>
      <c r="P6" s="30" t="n">
        <v>0.036</v>
      </c>
      <c r="Q6" s="30" t="n">
        <v>0.036</v>
      </c>
      <c r="R6" s="30" t="n">
        <v>0.036</v>
      </c>
      <c r="S6" s="30" t="n">
        <v>0.036</v>
      </c>
      <c r="T6" s="30" t="n">
        <v>0.036</v>
      </c>
      <c r="U6" s="30" t="n">
        <v>0.036</v>
      </c>
    </row>
    <row r="9">
      <c r="A9" s="17" t="inlineStr">
        <is>
          <t xml:space="preserve">  Debt Risk Premium — BBB+ Spread (%)</t>
        </is>
      </c>
      <c r="B9" s="29" t="n">
        <v>0.017</v>
      </c>
      <c r="C9" s="29" t="n">
        <v>0.018</v>
      </c>
      <c r="D9" s="29" t="n">
        <v>0.02</v>
      </c>
      <c r="E9" s="29" t="n">
        <v>0.019</v>
      </c>
      <c r="F9" s="29" t="n">
        <v>0.018</v>
      </c>
      <c r="G9" s="29" t="n">
        <v>0.02</v>
      </c>
      <c r="H9" s="29" t="n">
        <v>0.025</v>
      </c>
      <c r="I9" s="29" t="n">
        <v>0.022</v>
      </c>
      <c r="J9" s="29" t="n">
        <v>0.02</v>
      </c>
      <c r="K9" s="29" t="n">
        <v>0.019</v>
      </c>
      <c r="L9" s="30" t="n">
        <v>0.018</v>
      </c>
      <c r="M9" s="30" t="n">
        <v>0.0175</v>
      </c>
      <c r="N9" s="30" t="n">
        <v>0.017</v>
      </c>
      <c r="O9" s="30" t="n">
        <v>0.017</v>
      </c>
      <c r="P9" s="30" t="n">
        <v>0.017</v>
      </c>
      <c r="Q9" s="30" t="n">
        <v>0.017</v>
      </c>
      <c r="R9" s="30" t="n">
        <v>0.017</v>
      </c>
      <c r="S9" s="30" t="n">
        <v>0.017</v>
      </c>
      <c r="T9" s="30" t="n">
        <v>0.017</v>
      </c>
      <c r="U9" s="30" t="n">
        <v>0.017</v>
      </c>
    </row>
    <row r="11">
      <c r="A11" s="15" t="inlineStr">
        <is>
          <t>BENCHMARK YIELD CALCULATION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7" t="inlineStr">
        <is>
          <t xml:space="preserve">  Benchmark Yield (RFR + DRP, %)</t>
        </is>
      </c>
      <c r="B12" s="29">
        <f>B6+B9</f>
        <v/>
      </c>
      <c r="C12" s="29">
        <f>C6+C9</f>
        <v/>
      </c>
      <c r="D12" s="29">
        <f>D6+D9</f>
        <v/>
      </c>
      <c r="E12" s="29">
        <f>E6+E9</f>
        <v/>
      </c>
      <c r="F12" s="29">
        <f>F6+F9</f>
        <v/>
      </c>
      <c r="G12" s="29">
        <f>G6+G9</f>
        <v/>
      </c>
      <c r="H12" s="29">
        <f>H6+H9</f>
        <v/>
      </c>
      <c r="I12" s="29">
        <f>I6+I9</f>
        <v/>
      </c>
      <c r="J12" s="29">
        <f>J6+J9</f>
        <v/>
      </c>
      <c r="K12" s="29">
        <f>K6+K9</f>
        <v/>
      </c>
      <c r="L12" s="31">
        <f>L6+L9</f>
        <v/>
      </c>
      <c r="M12" s="31">
        <f>M6+M9</f>
        <v/>
      </c>
      <c r="N12" s="31">
        <f>N6+N9</f>
        <v/>
      </c>
      <c r="O12" s="31">
        <f>O6+O9</f>
        <v/>
      </c>
      <c r="P12" s="31">
        <f>P6+P9</f>
        <v/>
      </c>
      <c r="Q12" s="31">
        <f>Q6+Q9</f>
        <v/>
      </c>
      <c r="R12" s="31">
        <f>R6+R9</f>
        <v/>
      </c>
      <c r="S12" s="31">
        <f>S6+S9</f>
        <v/>
      </c>
      <c r="T12" s="31">
        <f>T6+T9</f>
        <v/>
      </c>
      <c r="U12" s="31">
        <f>U6+U9</f>
        <v/>
      </c>
    </row>
    <row r="13">
      <c r="A13" s="17" t="inlineStr">
        <is>
          <t xml:space="preserve">  + Issuance Costs (%)</t>
        </is>
      </c>
      <c r="B13" s="29" t="n">
        <v>0.00125</v>
      </c>
      <c r="C13" s="29" t="n">
        <v>0.00125</v>
      </c>
      <c r="D13" s="29" t="n">
        <v>0.00125</v>
      </c>
      <c r="E13" s="29" t="n">
        <v>0.00125</v>
      </c>
      <c r="F13" s="29" t="n">
        <v>0.00125</v>
      </c>
      <c r="G13" s="29" t="n">
        <v>0.00125</v>
      </c>
      <c r="H13" s="29" t="n">
        <v>0.00125</v>
      </c>
      <c r="I13" s="29" t="n">
        <v>0.00125</v>
      </c>
      <c r="J13" s="29" t="n">
        <v>0.00125</v>
      </c>
      <c r="K13" s="29" t="n">
        <v>0.00125</v>
      </c>
      <c r="L13" s="31" t="n">
        <v>0.00125</v>
      </c>
      <c r="M13" s="31" t="n">
        <v>0.00125</v>
      </c>
      <c r="N13" s="31" t="n">
        <v>0.00125</v>
      </c>
      <c r="O13" s="31" t="n">
        <v>0.00125</v>
      </c>
      <c r="P13" s="31" t="n">
        <v>0.00125</v>
      </c>
      <c r="Q13" s="31" t="n">
        <v>0.00125</v>
      </c>
      <c r="R13" s="31" t="n">
        <v>0.00125</v>
      </c>
      <c r="S13" s="31" t="n">
        <v>0.00125</v>
      </c>
      <c r="T13" s="31" t="n">
        <v>0.00125</v>
      </c>
      <c r="U13" s="31" t="n">
        <v>0.00125</v>
      </c>
    </row>
    <row r="14">
      <c r="A14" s="17" t="inlineStr">
        <is>
          <t xml:space="preserve">  Total Benchmark Cost of Debt (%)</t>
        </is>
      </c>
      <c r="B14" s="32">
        <f>B12+B13</f>
        <v/>
      </c>
      <c r="C14" s="32">
        <f>C12+C13</f>
        <v/>
      </c>
      <c r="D14" s="32">
        <f>D12+D13</f>
        <v/>
      </c>
      <c r="E14" s="32">
        <f>E12+E13</f>
        <v/>
      </c>
      <c r="F14" s="32">
        <f>F12+F13</f>
        <v/>
      </c>
      <c r="G14" s="32">
        <f>G12+G13</f>
        <v/>
      </c>
      <c r="H14" s="32">
        <f>H12+H13</f>
        <v/>
      </c>
      <c r="I14" s="32">
        <f>I12+I13</f>
        <v/>
      </c>
      <c r="J14" s="32">
        <f>J12+J13</f>
        <v/>
      </c>
      <c r="K14" s="32">
        <f>K12+K13</f>
        <v/>
      </c>
      <c r="L14" s="33">
        <f>L12+L13</f>
        <v/>
      </c>
      <c r="M14" s="33">
        <f>M12+M13</f>
        <v/>
      </c>
      <c r="N14" s="33">
        <f>N12+N13</f>
        <v/>
      </c>
      <c r="O14" s="33">
        <f>O12+O13</f>
        <v/>
      </c>
      <c r="P14" s="33">
        <f>P12+P13</f>
        <v/>
      </c>
      <c r="Q14" s="33">
        <f>Q12+Q13</f>
        <v/>
      </c>
      <c r="R14" s="33">
        <f>R12+R13</f>
        <v/>
      </c>
      <c r="S14" s="33">
        <f>S12+S13</f>
        <v/>
      </c>
      <c r="T14" s="33">
        <f>T12+T13</f>
        <v/>
      </c>
      <c r="U14" s="33">
        <f>U12+U13</f>
        <v/>
      </c>
    </row>
    <row r="16">
      <c r="A16" s="15" t="inlineStr">
        <is>
          <t>10-YEAR TRAILING AVERAGE WACD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7" t="inlineStr">
        <is>
          <t xml:space="preserve">  Trailing Avg Cost of Debt (WACD, %)</t>
        </is>
      </c>
      <c r="B17" s="29">
        <f>AVERAGE(B14:B14)</f>
        <v/>
      </c>
      <c r="C17" s="29">
        <f>AVERAGE(B14:C14)</f>
        <v/>
      </c>
      <c r="D17" s="29">
        <f>AVERAGE(B14:D14)</f>
        <v/>
      </c>
      <c r="E17" s="29">
        <f>AVERAGE(B14:E14)</f>
        <v/>
      </c>
      <c r="F17" s="29">
        <f>AVERAGE(B14:F14)</f>
        <v/>
      </c>
      <c r="G17" s="29">
        <f>AVERAGE(B14:G14)</f>
        <v/>
      </c>
      <c r="H17" s="29">
        <f>AVERAGE(B14:H14)</f>
        <v/>
      </c>
      <c r="I17" s="29">
        <f>AVERAGE(B14:I14)</f>
        <v/>
      </c>
      <c r="J17" s="29">
        <f>AVERAGE(B14:J14)</f>
        <v/>
      </c>
      <c r="K17" s="32">
        <f>AVERAGE(B14:K14)</f>
        <v/>
      </c>
      <c r="L17" s="33">
        <f>AVERAGE(C14:L14)</f>
        <v/>
      </c>
      <c r="M17" s="33">
        <f>AVERAGE(D14:M14)</f>
        <v/>
      </c>
      <c r="N17" s="33">
        <f>AVERAGE(E14:N14)</f>
        <v/>
      </c>
      <c r="O17" s="33">
        <f>AVERAGE(F14:O14)</f>
        <v/>
      </c>
      <c r="P17" s="33">
        <f>AVERAGE(G14:P14)</f>
        <v/>
      </c>
      <c r="Q17" s="33">
        <f>AVERAGE(H14:Q14)</f>
        <v/>
      </c>
      <c r="R17" s="33">
        <f>AVERAGE(I14:R14)</f>
        <v/>
      </c>
      <c r="S17" s="33">
        <f>AVERAGE(J14:S14)</f>
        <v/>
      </c>
      <c r="T17" s="33">
        <f>AVERAGE(K14:T14)</f>
        <v/>
      </c>
      <c r="U17" s="33">
        <f>AVERAGE(L14:U14)</f>
        <v/>
      </c>
    </row>
    <row r="18">
      <c r="A18" s="17" t="inlineStr">
        <is>
          <t xml:space="preserve">  No. Vintage Years in Average</t>
        </is>
      </c>
      <c r="B18" s="23" t="n">
        <v>1</v>
      </c>
      <c r="C18" s="23" t="n">
        <v>2</v>
      </c>
      <c r="D18" s="23" t="n">
        <v>3</v>
      </c>
      <c r="E18" s="23" t="n">
        <v>4</v>
      </c>
      <c r="F18" s="23" t="n">
        <v>5</v>
      </c>
      <c r="G18" s="23" t="n">
        <v>6</v>
      </c>
      <c r="H18" s="23" t="n">
        <v>7</v>
      </c>
      <c r="I18" s="23" t="n">
        <v>8</v>
      </c>
      <c r="J18" s="23" t="n">
        <v>9</v>
      </c>
      <c r="K18" s="23" t="n">
        <v>10</v>
      </c>
      <c r="L18" s="34" t="n">
        <v>10</v>
      </c>
      <c r="M18" s="34" t="n">
        <v>10</v>
      </c>
      <c r="N18" s="34" t="n">
        <v>10</v>
      </c>
      <c r="O18" s="34" t="n">
        <v>10</v>
      </c>
      <c r="P18" s="34" t="n">
        <v>10</v>
      </c>
      <c r="Q18" s="34" t="n">
        <v>10</v>
      </c>
      <c r="R18" s="34" t="n">
        <v>10</v>
      </c>
      <c r="S18" s="34" t="n">
        <v>10</v>
      </c>
      <c r="T18" s="34" t="n">
        <v>10</v>
      </c>
      <c r="U18" s="34" t="n">
        <v>10</v>
      </c>
    </row>
    <row r="20">
      <c r="A20" s="15" t="inlineStr">
        <is>
          <t>WACD FEED TO FINANCIAL MODEL (FY2019A-FY2033E)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7" t="inlineStr">
        <is>
          <t xml:space="preserve">  Benchmark WACD for Model Year (%)</t>
        </is>
      </c>
      <c r="G21" s="32">
        <f>G17</f>
        <v/>
      </c>
      <c r="H21" s="32">
        <f>H17</f>
        <v/>
      </c>
      <c r="I21" s="32">
        <f>I17</f>
        <v/>
      </c>
      <c r="J21" s="32">
        <f>J17</f>
        <v/>
      </c>
      <c r="K21" s="32">
        <f>K17</f>
        <v/>
      </c>
      <c r="L21" s="33">
        <f>L17</f>
        <v/>
      </c>
      <c r="M21" s="33">
        <f>M17</f>
        <v/>
      </c>
      <c r="N21" s="33">
        <f>N17</f>
        <v/>
      </c>
      <c r="O21" s="33">
        <f>O17</f>
        <v/>
      </c>
      <c r="P21" s="33">
        <f>P17</f>
        <v/>
      </c>
      <c r="Q21" s="33">
        <f>Q17</f>
        <v/>
      </c>
      <c r="R21" s="33">
        <f>R17</f>
        <v/>
      </c>
      <c r="S21" s="33">
        <f>S17</f>
        <v/>
      </c>
      <c r="T21" s="33">
        <f>T17</f>
        <v/>
      </c>
      <c r="U21" s="33">
        <f>U17</f>
        <v/>
      </c>
    </row>
  </sheetData>
  <mergeCells count="2">
    <mergeCell ref="A1:U1"/>
    <mergeCell ref="A3: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Q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35" t="inlineStr">
        <is>
          <t>CAPITAL PROJECTS PIPELINE — Project-Level Capex Schedule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Capital Projects ($M Nominal) — Forecast Period FY2024E–FY2033E</t>
        </is>
      </c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16" t="n"/>
    </row>
    <row r="5">
      <c r="A5" s="37" t="inlineStr">
        <is>
          <t xml:space="preserve">  Project Name  |  Type  |  Budget $M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</row>
    <row r="6">
      <c r="A6" s="38" t="inlineStr">
        <is>
          <t>P001  Grid Modernisation Program</t>
        </is>
      </c>
      <c r="G6" s="39" t="n">
        <v>90</v>
      </c>
      <c r="H6" s="39" t="n">
        <v>130</v>
      </c>
      <c r="I6" s="39" t="n">
        <v>150</v>
      </c>
      <c r="J6" s="39" t="n">
        <v>120</v>
      </c>
      <c r="K6" s="39" t="n">
        <v>80</v>
      </c>
      <c r="L6" s="39" t="n">
        <v>60</v>
      </c>
    </row>
    <row r="7">
      <c r="A7" s="40" t="inlineStr">
        <is>
          <t>P002  Substation Upgrades — Zone A</t>
        </is>
      </c>
      <c r="G7" s="39" t="n">
        <v>70</v>
      </c>
      <c r="H7" s="39" t="n">
        <v>90</v>
      </c>
      <c r="I7" s="39" t="n">
        <v>50</v>
      </c>
    </row>
    <row r="8">
      <c r="A8" s="38" t="inlineStr">
        <is>
          <t>P003  HVDC Interconnect (Stage 1)</t>
        </is>
      </c>
      <c r="H8" s="39" t="n">
        <v>60</v>
      </c>
      <c r="I8" s="39" t="n">
        <v>120</v>
      </c>
      <c r="J8" s="39" t="n">
        <v>150</v>
      </c>
      <c r="K8" s="39" t="n">
        <v>120</v>
      </c>
      <c r="L8" s="39" t="n">
        <v>30</v>
      </c>
    </row>
    <row r="9">
      <c r="A9" s="41" t="inlineStr">
        <is>
          <t>P004  New Connection — Wind Farm A</t>
        </is>
      </c>
      <c r="G9" s="39" t="n">
        <v>25</v>
      </c>
      <c r="H9" s="39" t="n">
        <v>20</v>
      </c>
    </row>
    <row r="10">
      <c r="A10" s="40" t="inlineStr">
        <is>
          <t>P005  Transformer Replacement Program</t>
        </is>
      </c>
      <c r="G10" s="39" t="n">
        <v>35</v>
      </c>
      <c r="H10" s="39" t="n">
        <v>40</v>
      </c>
      <c r="I10" s="39" t="n">
        <v>45</v>
      </c>
      <c r="J10" s="39" t="n">
        <v>50</v>
      </c>
      <c r="K10" s="39" t="n">
        <v>55</v>
      </c>
      <c r="L10" s="39" t="n">
        <v>55</v>
      </c>
      <c r="M10" s="39" t="n">
        <v>50</v>
      </c>
      <c r="N10" s="39" t="n">
        <v>20</v>
      </c>
    </row>
    <row r="11">
      <c r="A11" s="40" t="inlineStr">
        <is>
          <t>P006  Protection Relay Upgrade</t>
        </is>
      </c>
      <c r="G11" s="39" t="n">
        <v>30</v>
      </c>
      <c r="H11" s="39" t="n">
        <v>35</v>
      </c>
      <c r="I11" s="39" t="n">
        <v>30</v>
      </c>
      <c r="J11" s="39" t="n">
        <v>25</v>
      </c>
    </row>
    <row r="12">
      <c r="A12" s="41" t="inlineStr">
        <is>
          <t>P007  New Connection — Solar Farm B</t>
        </is>
      </c>
      <c r="H12" s="39" t="n">
        <v>40</v>
      </c>
      <c r="I12" s="39" t="n">
        <v>40</v>
      </c>
    </row>
    <row r="13">
      <c r="A13" s="40" t="inlineStr">
        <is>
          <t>P008  Transmission Reconductoring</t>
        </is>
      </c>
      <c r="I13" s="39" t="n">
        <v>50</v>
      </c>
      <c r="J13" s="39" t="n">
        <v>70</v>
      </c>
      <c r="K13" s="39" t="n">
        <v>90</v>
      </c>
      <c r="L13" s="39" t="n">
        <v>90</v>
      </c>
      <c r="M13" s="39" t="n">
        <v>80</v>
      </c>
      <c r="N13" s="39" t="n">
        <v>40</v>
      </c>
    </row>
    <row r="14">
      <c r="A14" s="38" t="inlineStr">
        <is>
          <t>P009  Digital Twin Infrastructure</t>
        </is>
      </c>
      <c r="J14" s="39" t="n">
        <v>30</v>
      </c>
      <c r="K14" s="39" t="n">
        <v>35</v>
      </c>
      <c r="L14" s="39" t="n">
        <v>25</v>
      </c>
    </row>
    <row r="15">
      <c r="A15" s="38" t="inlineStr">
        <is>
          <t>P010  Reactive Power Support</t>
        </is>
      </c>
      <c r="K15" s="39" t="n">
        <v>25</v>
      </c>
      <c r="L15" s="39" t="n">
        <v>30</v>
      </c>
      <c r="M15" s="39" t="n">
        <v>20</v>
      </c>
    </row>
    <row r="17">
      <c r="A17" s="42" t="inlineStr">
        <is>
          <t>TOTAL CAPEX BY YEAR ($M)</t>
        </is>
      </c>
      <c r="B17" s="43" t="n">
        <v>280</v>
      </c>
      <c r="C17" s="43" t="n">
        <v>305</v>
      </c>
      <c r="D17" s="43" t="n">
        <v>330</v>
      </c>
      <c r="E17" s="43" t="n">
        <v>355</v>
      </c>
      <c r="F17" s="43" t="n">
        <v>380</v>
      </c>
      <c r="G17" s="44">
        <f>SUM(G6,G7,G8,G9,G10,G11,G12,G13,G14,G15)</f>
        <v/>
      </c>
      <c r="H17" s="44">
        <f>SUM(H6,H7,H8,H9,H10,H11,H12,H13,H14,H15)</f>
        <v/>
      </c>
      <c r="I17" s="44">
        <f>SUM(I6,I7,I8,I9,I10,I11,I12,I13,I14,I15)</f>
        <v/>
      </c>
      <c r="J17" s="44">
        <f>SUM(J6,J7,J8,J9,J10,J11,J12,J13,J14,J15)</f>
        <v/>
      </c>
      <c r="K17" s="44">
        <f>SUM(K6,K7,K8,K9,K10,K11,K12,K13,K14,K15)</f>
        <v/>
      </c>
      <c r="L17" s="44">
        <f>SUM(L6,L7,L8,L9,L10,L11,L12,L13,L14,L15)</f>
        <v/>
      </c>
      <c r="M17" s="44">
        <f>SUM(M6,M7,M8,M9,M10,M11,M12,M13,M14,M15)</f>
        <v/>
      </c>
      <c r="N17" s="44">
        <f>SUM(N6,N7,N8,N9,N10,N11,N12,N13,N14,N15)</f>
        <v/>
      </c>
      <c r="O17" s="44">
        <f>SUM(O6,O7,O8,O9,O10,O11,O12,O13,O14,O15)</f>
        <v/>
      </c>
      <c r="P17" s="44">
        <f>SUM(P6,P7,P8,P9,P10,P11,P12,P13,P14,P15)</f>
        <v/>
      </c>
    </row>
    <row r="18">
      <c r="A18" s="45" t="inlineStr">
        <is>
          <t xml:space="preserve">  AUG=Augmentation (blue) | REPL=Replacement (yellow) | CONN=Connections (green)</t>
        </is>
      </c>
    </row>
    <row r="19">
      <c r="A19" s="17" t="inlineStr">
        <is>
          <t xml:space="preserve">  Augmentation (AUG)</t>
        </is>
      </c>
      <c r="B19" s="26" t="n">
        <v>150</v>
      </c>
      <c r="C19" s="26" t="n">
        <v>165</v>
      </c>
      <c r="D19" s="26" t="n">
        <v>175</v>
      </c>
      <c r="E19" s="26" t="n">
        <v>185</v>
      </c>
      <c r="F19" s="26" t="n">
        <v>195</v>
      </c>
      <c r="G19" s="39" t="n">
        <v>90</v>
      </c>
      <c r="H19" s="39" t="n">
        <v>190</v>
      </c>
      <c r="I19" s="39" t="n">
        <v>270</v>
      </c>
      <c r="J19" s="39" t="n">
        <v>300</v>
      </c>
      <c r="K19" s="39" t="n">
        <v>260</v>
      </c>
      <c r="L19" s="39" t="n">
        <v>145</v>
      </c>
      <c r="M19" s="39" t="n">
        <v>20</v>
      </c>
      <c r="N19" s="39" t="n">
        <v>0</v>
      </c>
      <c r="O19" s="39" t="n">
        <v>0</v>
      </c>
      <c r="P19" s="39" t="n">
        <v>0</v>
      </c>
    </row>
    <row r="20">
      <c r="A20" s="17" t="inlineStr">
        <is>
          <t xml:space="preserve">  Replacement (REPL)</t>
        </is>
      </c>
      <c r="B20" s="26" t="n">
        <v>100</v>
      </c>
      <c r="C20" s="26" t="n">
        <v>105</v>
      </c>
      <c r="D20" s="26" t="n">
        <v>115</v>
      </c>
      <c r="E20" s="26" t="n">
        <v>130</v>
      </c>
      <c r="F20" s="26" t="n">
        <v>145</v>
      </c>
      <c r="G20" s="39" t="n">
        <v>135</v>
      </c>
      <c r="H20" s="39" t="n">
        <v>165</v>
      </c>
      <c r="I20" s="39" t="n">
        <v>175</v>
      </c>
      <c r="J20" s="39" t="n">
        <v>145</v>
      </c>
      <c r="K20" s="39" t="n">
        <v>145</v>
      </c>
      <c r="L20" s="39" t="n">
        <v>145</v>
      </c>
      <c r="M20" s="39" t="n">
        <v>130</v>
      </c>
      <c r="N20" s="39" t="n">
        <v>60</v>
      </c>
      <c r="O20" s="39" t="n">
        <v>0</v>
      </c>
      <c r="P20" s="39" t="n">
        <v>0</v>
      </c>
    </row>
    <row r="21">
      <c r="A21" s="17" t="inlineStr">
        <is>
          <t xml:space="preserve">  Connections (CONN)</t>
        </is>
      </c>
      <c r="B21" s="26" t="n">
        <v>30</v>
      </c>
      <c r="C21" s="26" t="n">
        <v>35</v>
      </c>
      <c r="D21" s="26" t="n">
        <v>40</v>
      </c>
      <c r="E21" s="26" t="n">
        <v>40</v>
      </c>
      <c r="F21" s="26" t="n">
        <v>40</v>
      </c>
      <c r="G21" s="39" t="n">
        <v>25</v>
      </c>
      <c r="H21" s="39" t="n">
        <v>60</v>
      </c>
      <c r="I21" s="39" t="n">
        <v>40</v>
      </c>
      <c r="J21" s="39" t="n">
        <v>0</v>
      </c>
      <c r="K21" s="39" t="n">
        <v>0</v>
      </c>
      <c r="L21" s="39" t="n">
        <v>0</v>
      </c>
      <c r="M21" s="39" t="n">
        <v>0</v>
      </c>
      <c r="N21" s="39" t="n">
        <v>0</v>
      </c>
      <c r="O21" s="39" t="n">
        <v>0</v>
      </c>
      <c r="P21" s="39" t="n">
        <v>0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Q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35" t="inlineStr">
        <is>
          <t>CAPITAL EXPENDITURE SCHEDULE — Detailed Capex Build-Up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Project-Sourced Capex by Category ($M Nominal)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Augmentation Capex</t>
        </is>
      </c>
      <c r="B5" s="26">
        <f>Projects!B19</f>
        <v/>
      </c>
      <c r="C5" s="26">
        <f>Projects!C19</f>
        <v/>
      </c>
      <c r="D5" s="26">
        <f>Projects!D19</f>
        <v/>
      </c>
      <c r="E5" s="26">
        <f>Projects!E19</f>
        <v/>
      </c>
      <c r="F5" s="26">
        <f>Projects!F19</f>
        <v/>
      </c>
      <c r="G5" s="39">
        <f>Projects!G19</f>
        <v/>
      </c>
      <c r="H5" s="39">
        <f>Projects!H19</f>
        <v/>
      </c>
      <c r="I5" s="39">
        <f>Projects!I19</f>
        <v/>
      </c>
      <c r="J5" s="39">
        <f>Projects!J19</f>
        <v/>
      </c>
      <c r="K5" s="39">
        <f>Projects!K19</f>
        <v/>
      </c>
      <c r="L5" s="39">
        <f>Projects!L19</f>
        <v/>
      </c>
      <c r="M5" s="39">
        <f>Projects!M19</f>
        <v/>
      </c>
      <c r="N5" s="39">
        <f>Projects!N19</f>
        <v/>
      </c>
      <c r="O5" s="39">
        <f>Projects!O19</f>
        <v/>
      </c>
      <c r="P5" s="39">
        <f>Projects!P19</f>
        <v/>
      </c>
    </row>
    <row r="6">
      <c r="A6" s="17" t="inlineStr">
        <is>
          <t xml:space="preserve">  Replacement / Renewal</t>
        </is>
      </c>
      <c r="B6" s="26">
        <f>Projects!B20</f>
        <v/>
      </c>
      <c r="C6" s="26">
        <f>Projects!C20</f>
        <v/>
      </c>
      <c r="D6" s="26">
        <f>Projects!D20</f>
        <v/>
      </c>
      <c r="E6" s="26">
        <f>Projects!E20</f>
        <v/>
      </c>
      <c r="F6" s="26">
        <f>Projects!F20</f>
        <v/>
      </c>
      <c r="G6" s="39">
        <f>Projects!G20</f>
        <v/>
      </c>
      <c r="H6" s="39">
        <f>Projects!H20</f>
        <v/>
      </c>
      <c r="I6" s="39">
        <f>Projects!I20</f>
        <v/>
      </c>
      <c r="J6" s="39">
        <f>Projects!J20</f>
        <v/>
      </c>
      <c r="K6" s="39">
        <f>Projects!K20</f>
        <v/>
      </c>
      <c r="L6" s="39">
        <f>Projects!L20</f>
        <v/>
      </c>
      <c r="M6" s="39">
        <f>Projects!M20</f>
        <v/>
      </c>
      <c r="N6" s="39">
        <f>Projects!N20</f>
        <v/>
      </c>
      <c r="O6" s="39">
        <f>Projects!O20</f>
        <v/>
      </c>
      <c r="P6" s="39">
        <f>Projects!P20</f>
        <v/>
      </c>
    </row>
    <row r="7">
      <c r="A7" s="17" t="inlineStr">
        <is>
          <t xml:space="preserve">  Connections</t>
        </is>
      </c>
      <c r="B7" s="26">
        <f>Projects!B21</f>
        <v/>
      </c>
      <c r="C7" s="26">
        <f>Projects!C21</f>
        <v/>
      </c>
      <c r="D7" s="26">
        <f>Projects!D21</f>
        <v/>
      </c>
      <c r="E7" s="26">
        <f>Projects!E21</f>
        <v/>
      </c>
      <c r="F7" s="26">
        <f>Projects!F21</f>
        <v/>
      </c>
      <c r="G7" s="39">
        <f>Projects!G21</f>
        <v/>
      </c>
      <c r="H7" s="39">
        <f>Projects!H21</f>
        <v/>
      </c>
      <c r="I7" s="39">
        <f>Projects!I21</f>
        <v/>
      </c>
      <c r="J7" s="39">
        <f>Projects!J21</f>
        <v/>
      </c>
      <c r="K7" s="39">
        <f>Projects!K21</f>
        <v/>
      </c>
      <c r="L7" s="39">
        <f>Projects!L21</f>
        <v/>
      </c>
      <c r="M7" s="39">
        <f>Projects!M21</f>
        <v/>
      </c>
      <c r="N7" s="39">
        <f>Projects!N21</f>
        <v/>
      </c>
      <c r="O7" s="39">
        <f>Projects!O21</f>
        <v/>
      </c>
      <c r="P7" s="39">
        <f>Projects!P21</f>
        <v/>
      </c>
    </row>
    <row r="8">
      <c r="A8" s="17" t="inlineStr">
        <is>
          <t xml:space="preserve">  Total Project Capex</t>
        </is>
      </c>
      <c r="B8" s="46">
        <f>B5+B6+B7</f>
        <v/>
      </c>
      <c r="C8" s="46">
        <f>C5+C6+C7</f>
        <v/>
      </c>
      <c r="D8" s="46">
        <f>D5+D6+D7</f>
        <v/>
      </c>
      <c r="E8" s="46">
        <f>E5+E6+E7</f>
        <v/>
      </c>
      <c r="F8" s="46">
        <f>F5+F6+F7</f>
        <v/>
      </c>
      <c r="G8" s="46">
        <f>G5+G6+G7</f>
        <v/>
      </c>
      <c r="H8" s="46">
        <f>H5+H6+H7</f>
        <v/>
      </c>
      <c r="I8" s="46">
        <f>I5+I6+I7</f>
        <v/>
      </c>
      <c r="J8" s="46">
        <f>J5+J6+J7</f>
        <v/>
      </c>
      <c r="K8" s="46">
        <f>K5+K6+K7</f>
        <v/>
      </c>
      <c r="L8" s="46">
        <f>L5+L6+L7</f>
        <v/>
      </c>
      <c r="M8" s="46">
        <f>M5+M6+M7</f>
        <v/>
      </c>
      <c r="N8" s="46">
        <f>N5+N6+N7</f>
        <v/>
      </c>
      <c r="O8" s="46">
        <f>O5+O6+O7</f>
        <v/>
      </c>
      <c r="P8" s="46">
        <f>P5+P6+P7</f>
        <v/>
      </c>
    </row>
    <row r="10" ht="16" customHeight="1">
      <c r="A10" s="15" t="inlineStr">
        <is>
          <t>Capitalised Overheads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</row>
    <row r="11">
      <c r="A11" s="17" t="inlineStr">
        <is>
          <t xml:space="preserve">  Overhead Capitalisation Rate (%)</t>
        </is>
      </c>
      <c r="B11" s="18" t="n">
        <v>0.08</v>
      </c>
    </row>
    <row r="12">
      <c r="A12" s="17" t="inlineStr">
        <is>
          <t xml:space="preserve">  Capitalised Overheads ($M)</t>
        </is>
      </c>
      <c r="B12" s="26">
        <f>B8*$B$11</f>
        <v/>
      </c>
      <c r="C12" s="26">
        <f>C8*$B$11</f>
        <v/>
      </c>
      <c r="D12" s="26">
        <f>D8*$B$11</f>
        <v/>
      </c>
      <c r="E12" s="26">
        <f>E8*$B$11</f>
        <v/>
      </c>
      <c r="F12" s="26">
        <f>F8*$B$11</f>
        <v/>
      </c>
      <c r="G12" s="39">
        <f>G8*$B$11</f>
        <v/>
      </c>
      <c r="H12" s="39">
        <f>H8*$B$11</f>
        <v/>
      </c>
      <c r="I12" s="39">
        <f>I8*$B$11</f>
        <v/>
      </c>
      <c r="J12" s="39">
        <f>J8*$B$11</f>
        <v/>
      </c>
      <c r="K12" s="39">
        <f>K8*$B$11</f>
        <v/>
      </c>
      <c r="L12" s="39">
        <f>L8*$B$11</f>
        <v/>
      </c>
      <c r="M12" s="39">
        <f>M8*$B$11</f>
        <v/>
      </c>
      <c r="N12" s="39">
        <f>N8*$B$11</f>
        <v/>
      </c>
      <c r="O12" s="39">
        <f>O8*$B$11</f>
        <v/>
      </c>
      <c r="P12" s="39">
        <f>P8*$B$11</f>
        <v/>
      </c>
    </row>
    <row r="13">
      <c r="A13" s="17" t="inlineStr">
        <is>
          <t>TOTAL CAPEX (incl. overheads)</t>
        </is>
      </c>
      <c r="B13" s="44">
        <f>B8+B12</f>
        <v/>
      </c>
      <c r="C13" s="44">
        <f>C8+C12</f>
        <v/>
      </c>
      <c r="D13" s="44">
        <f>D8+D12</f>
        <v/>
      </c>
      <c r="E13" s="44">
        <f>E8+E12</f>
        <v/>
      </c>
      <c r="F13" s="44">
        <f>F8+F12</f>
        <v/>
      </c>
      <c r="G13" s="44">
        <f>G8+G12</f>
        <v/>
      </c>
      <c r="H13" s="44">
        <f>H8+H12</f>
        <v/>
      </c>
      <c r="I13" s="44">
        <f>I8+I12</f>
        <v/>
      </c>
      <c r="J13" s="44">
        <f>J8+J12</f>
        <v/>
      </c>
      <c r="K13" s="44">
        <f>K8+K12</f>
        <v/>
      </c>
      <c r="L13" s="44">
        <f>L8+L12</f>
        <v/>
      </c>
      <c r="M13" s="44">
        <f>M8+M12</f>
        <v/>
      </c>
      <c r="N13" s="44">
        <f>N8+N12</f>
        <v/>
      </c>
      <c r="O13" s="44">
        <f>O8+O12</f>
        <v/>
      </c>
      <c r="P13" s="44">
        <f>P8+P12</f>
        <v/>
      </c>
    </row>
    <row r="15" ht="16" customHeight="1">
      <c r="A15" s="15" t="inlineStr">
        <is>
          <t>Reconciliation to Assumptions Capex ($M)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>
      <c r="A16" s="17" t="inlineStr">
        <is>
          <t xml:space="preserve">  Assumptions Total (aug+repl+conn)</t>
        </is>
      </c>
      <c r="B16" s="26" t="n">
        <v>280</v>
      </c>
      <c r="C16" s="26" t="n">
        <v>305</v>
      </c>
      <c r="D16" s="26" t="n">
        <v>330</v>
      </c>
      <c r="E16" s="26" t="n">
        <v>355</v>
      </c>
      <c r="F16" s="26" t="n">
        <v>380</v>
      </c>
      <c r="G16" s="39">
        <f>Assumptions!G29+Assumptions!G30+Assumptions!G31</f>
        <v/>
      </c>
      <c r="H16" s="39">
        <f>Assumptions!H29+Assumptions!H30+Assumptions!H31</f>
        <v/>
      </c>
      <c r="I16" s="39">
        <f>Assumptions!I29+Assumptions!I30+Assumptions!I31</f>
        <v/>
      </c>
      <c r="J16" s="39">
        <f>Assumptions!J29+Assumptions!J30+Assumptions!J31</f>
        <v/>
      </c>
      <c r="K16" s="39">
        <f>Assumptions!K29+Assumptions!K30+Assumptions!K31</f>
        <v/>
      </c>
      <c r="L16" s="39">
        <f>Assumptions!L29+Assumptions!L30+Assumptions!L31</f>
        <v/>
      </c>
      <c r="M16" s="39">
        <f>Assumptions!M29+Assumptions!M30+Assumptions!M31</f>
        <v/>
      </c>
      <c r="N16" s="39">
        <f>Assumptions!N29+Assumptions!N30+Assumptions!N31</f>
        <v/>
      </c>
      <c r="O16" s="39">
        <f>Assumptions!O29+Assumptions!O30+Assumptions!O31</f>
        <v/>
      </c>
      <c r="P16" s="39">
        <f>Assumptions!P29+Assumptions!P30+Assumptions!P31</f>
        <v/>
      </c>
    </row>
    <row r="17">
      <c r="A17" s="17" t="inlineStr">
        <is>
          <t xml:space="preserve">  Variance (Capex tab less Assumptions)</t>
        </is>
      </c>
      <c r="B17" s="26" t="n">
        <v>0</v>
      </c>
      <c r="C17" s="26" t="n">
        <v>0</v>
      </c>
      <c r="D17" s="26" t="n">
        <v>0</v>
      </c>
      <c r="E17" s="26" t="n">
        <v>0</v>
      </c>
      <c r="F17" s="26" t="n">
        <v>0</v>
      </c>
      <c r="G17" s="47">
        <f>G13-G16</f>
        <v/>
      </c>
      <c r="H17" s="47">
        <f>H13-H16</f>
        <v/>
      </c>
      <c r="I17" s="47">
        <f>I13-I16</f>
        <v/>
      </c>
      <c r="J17" s="47">
        <f>J13-J16</f>
        <v/>
      </c>
      <c r="K17" s="47">
        <f>K13-K16</f>
        <v/>
      </c>
      <c r="L17" s="47">
        <f>L13-L16</f>
        <v/>
      </c>
      <c r="M17" s="47">
        <f>M13-M16</f>
        <v/>
      </c>
      <c r="N17" s="47">
        <f>N13-N16</f>
        <v/>
      </c>
      <c r="O17" s="47">
        <f>O13-O16</f>
        <v/>
      </c>
      <c r="P17" s="47">
        <f>P13-P16</f>
        <v/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Q5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48" t="inlineStr">
        <is>
          <t>FIXED ASSET REGISTER — PP&amp;E Roll-Forward by Asset Class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Gross PP&amp;E and Accumulated D&amp;A by Asset Class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5" t="inlineStr">
        <is>
          <t>TRANSMISSION LINES  (Standard Life: 40 yrs)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</row>
    <row r="6">
      <c r="A6" s="17" t="inlineStr">
        <is>
          <t xml:space="preserve">  Opening Gross PP&amp;E</t>
        </is>
      </c>
      <c r="B6" s="26" t="n">
        <v>3200</v>
      </c>
      <c r="C6" s="26">
        <f>B9</f>
        <v/>
      </c>
      <c r="D6" s="26">
        <f>C9</f>
        <v/>
      </c>
      <c r="E6" s="26">
        <f>D9</f>
        <v/>
      </c>
      <c r="F6" s="26">
        <f>E9</f>
        <v/>
      </c>
      <c r="G6" s="39">
        <f>F9</f>
        <v/>
      </c>
      <c r="H6" s="39">
        <f>G9</f>
        <v/>
      </c>
      <c r="I6" s="39">
        <f>H9</f>
        <v/>
      </c>
      <c r="J6" s="39">
        <f>I9</f>
        <v/>
      </c>
      <c r="K6" s="39">
        <f>J9</f>
        <v/>
      </c>
      <c r="L6" s="39">
        <f>K9</f>
        <v/>
      </c>
      <c r="M6" s="39">
        <f>L9</f>
        <v/>
      </c>
      <c r="N6" s="39">
        <f>M9</f>
        <v/>
      </c>
      <c r="O6" s="39">
        <f>N9</f>
        <v/>
      </c>
      <c r="P6" s="39">
        <f>O9</f>
        <v/>
      </c>
    </row>
    <row r="7">
      <c r="A7" s="17" t="inlineStr">
        <is>
          <t xml:space="preserve">  + Additions (from Capex)</t>
        </is>
      </c>
      <c r="B7" s="26">
        <f>'Capex'!B13*0.5</f>
        <v/>
      </c>
      <c r="C7" s="26">
        <f>'Capex'!C13*0.5</f>
        <v/>
      </c>
      <c r="D7" s="26">
        <f>'Capex'!D13*0.5</f>
        <v/>
      </c>
      <c r="E7" s="26">
        <f>'Capex'!E13*0.5</f>
        <v/>
      </c>
      <c r="F7" s="26">
        <f>'Capex'!F13*0.5</f>
        <v/>
      </c>
      <c r="G7" s="39">
        <f>'Capex'!G13*0.5</f>
        <v/>
      </c>
      <c r="H7" s="39">
        <f>'Capex'!H13*0.5</f>
        <v/>
      </c>
      <c r="I7" s="39">
        <f>'Capex'!I13*0.5</f>
        <v/>
      </c>
      <c r="J7" s="39">
        <f>'Capex'!J13*0.5</f>
        <v/>
      </c>
      <c r="K7" s="39">
        <f>'Capex'!K13*0.5</f>
        <v/>
      </c>
      <c r="L7" s="39">
        <f>'Capex'!L13*0.5</f>
        <v/>
      </c>
      <c r="M7" s="39">
        <f>'Capex'!M13*0.5</f>
        <v/>
      </c>
      <c r="N7" s="39">
        <f>'Capex'!N13*0.5</f>
        <v/>
      </c>
      <c r="O7" s="39">
        <f>'Capex'!O13*0.5</f>
        <v/>
      </c>
      <c r="P7" s="39">
        <f>'Capex'!P13*0.5</f>
        <v/>
      </c>
    </row>
    <row r="8">
      <c r="A8" s="17" t="inlineStr">
        <is>
          <t xml:space="preserve">  − Disposals</t>
        </is>
      </c>
      <c r="B8" s="26" t="n">
        <v>0</v>
      </c>
      <c r="C8" s="26" t="n">
        <v>0</v>
      </c>
      <c r="D8" s="26" t="n">
        <v>0</v>
      </c>
      <c r="E8" s="26" t="n">
        <v>0</v>
      </c>
      <c r="F8" s="26" t="n">
        <v>0</v>
      </c>
      <c r="G8" s="39" t="n">
        <v>0</v>
      </c>
      <c r="H8" s="39" t="n">
        <v>0</v>
      </c>
      <c r="I8" s="39" t="n">
        <v>0</v>
      </c>
      <c r="J8" s="39" t="n">
        <v>0</v>
      </c>
      <c r="K8" s="39" t="n">
        <v>0</v>
      </c>
      <c r="L8" s="39" t="n">
        <v>0</v>
      </c>
      <c r="M8" s="39" t="n">
        <v>0</v>
      </c>
      <c r="N8" s="39" t="n">
        <v>0</v>
      </c>
      <c r="O8" s="39" t="n">
        <v>0</v>
      </c>
      <c r="P8" s="39" t="n">
        <v>0</v>
      </c>
    </row>
    <row r="9">
      <c r="A9" s="17" t="inlineStr">
        <is>
          <t xml:space="preserve">  Closing Gross PP&amp;E</t>
        </is>
      </c>
      <c r="B9" s="26">
        <f>B6+B7-B8</f>
        <v/>
      </c>
      <c r="C9" s="26">
        <f>C6+C7-C8</f>
        <v/>
      </c>
      <c r="D9" s="26">
        <f>D6+D7-D8</f>
        <v/>
      </c>
      <c r="E9" s="26">
        <f>E6+E7-E8</f>
        <v/>
      </c>
      <c r="F9" s="26">
        <f>F6+F7-F8</f>
        <v/>
      </c>
      <c r="G9" s="39">
        <f>G6+G7-G8</f>
        <v/>
      </c>
      <c r="H9" s="39">
        <f>H6+H7-H8</f>
        <v/>
      </c>
      <c r="I9" s="39">
        <f>I6+I7-I8</f>
        <v/>
      </c>
      <c r="J9" s="39">
        <f>J6+J7-J8</f>
        <v/>
      </c>
      <c r="K9" s="39">
        <f>K6+K7-K8</f>
        <v/>
      </c>
      <c r="L9" s="39">
        <f>L6+L7-L8</f>
        <v/>
      </c>
      <c r="M9" s="39">
        <f>M6+M7-M8</f>
        <v/>
      </c>
      <c r="N9" s="39">
        <f>N6+N7-N8</f>
        <v/>
      </c>
      <c r="O9" s="39">
        <f>O6+O7-O8</f>
        <v/>
      </c>
      <c r="P9" s="39">
        <f>P6+P7-P8</f>
        <v/>
      </c>
    </row>
    <row r="10">
      <c r="A10" s="17" t="inlineStr">
        <is>
          <t xml:space="preserve">  Opening Accum. D&amp;A</t>
        </is>
      </c>
      <c r="B10" s="26" t="n">
        <v>1067</v>
      </c>
      <c r="C10" s="26">
        <f>B12</f>
        <v/>
      </c>
      <c r="D10" s="26">
        <f>C12</f>
        <v/>
      </c>
      <c r="E10" s="26">
        <f>D12</f>
        <v/>
      </c>
      <c r="F10" s="26">
        <f>E12</f>
        <v/>
      </c>
      <c r="G10" s="39">
        <f>F12</f>
        <v/>
      </c>
      <c r="H10" s="39">
        <f>G12</f>
        <v/>
      </c>
      <c r="I10" s="39">
        <f>H12</f>
        <v/>
      </c>
      <c r="J10" s="39">
        <f>I12</f>
        <v/>
      </c>
      <c r="K10" s="39">
        <f>J12</f>
        <v/>
      </c>
      <c r="L10" s="39">
        <f>K12</f>
        <v/>
      </c>
      <c r="M10" s="39">
        <f>L12</f>
        <v/>
      </c>
      <c r="N10" s="39">
        <f>M12</f>
        <v/>
      </c>
      <c r="O10" s="39">
        <f>N12</f>
        <v/>
      </c>
      <c r="P10" s="39">
        <f>O12</f>
        <v/>
      </c>
    </row>
    <row r="11">
      <c r="A11" s="17" t="inlineStr">
        <is>
          <t xml:space="preserve">  D&amp;A Charge (closing gross / life)</t>
        </is>
      </c>
      <c r="B11" s="26">
        <f>B9/40</f>
        <v/>
      </c>
      <c r="C11" s="26">
        <f>C9/40</f>
        <v/>
      </c>
      <c r="D11" s="26">
        <f>D9/40</f>
        <v/>
      </c>
      <c r="E11" s="26">
        <f>E9/40</f>
        <v/>
      </c>
      <c r="F11" s="26">
        <f>F9/40</f>
        <v/>
      </c>
      <c r="G11" s="39">
        <f>G9/40</f>
        <v/>
      </c>
      <c r="H11" s="39">
        <f>H9/40</f>
        <v/>
      </c>
      <c r="I11" s="39">
        <f>I9/40</f>
        <v/>
      </c>
      <c r="J11" s="39">
        <f>J9/40</f>
        <v/>
      </c>
      <c r="K11" s="39">
        <f>K9/40</f>
        <v/>
      </c>
      <c r="L11" s="39">
        <f>L9/40</f>
        <v/>
      </c>
      <c r="M11" s="39">
        <f>M9/40</f>
        <v/>
      </c>
      <c r="N11" s="39">
        <f>N9/40</f>
        <v/>
      </c>
      <c r="O11" s="39">
        <f>O9/40</f>
        <v/>
      </c>
      <c r="P11" s="39">
        <f>P9/40</f>
        <v/>
      </c>
    </row>
    <row r="12">
      <c r="A12" s="17" t="inlineStr">
        <is>
          <t xml:space="preserve">  Closing Accum. D&amp;A</t>
        </is>
      </c>
      <c r="B12" s="26">
        <f>B10+B11</f>
        <v/>
      </c>
      <c r="C12" s="26">
        <f>C10+C11</f>
        <v/>
      </c>
      <c r="D12" s="26">
        <f>D10+D11</f>
        <v/>
      </c>
      <c r="E12" s="26">
        <f>E10+E11</f>
        <v/>
      </c>
      <c r="F12" s="26">
        <f>F10+F11</f>
        <v/>
      </c>
      <c r="G12" s="39">
        <f>G10+G11</f>
        <v/>
      </c>
      <c r="H12" s="39">
        <f>H10+H11</f>
        <v/>
      </c>
      <c r="I12" s="39">
        <f>I10+I11</f>
        <v/>
      </c>
      <c r="J12" s="39">
        <f>J10+J11</f>
        <v/>
      </c>
      <c r="K12" s="39">
        <f>K10+K11</f>
        <v/>
      </c>
      <c r="L12" s="39">
        <f>L10+L11</f>
        <v/>
      </c>
      <c r="M12" s="39">
        <f>M10+M11</f>
        <v/>
      </c>
      <c r="N12" s="39">
        <f>N10+N11</f>
        <v/>
      </c>
      <c r="O12" s="39">
        <f>O10+O11</f>
        <v/>
      </c>
      <c r="P12" s="39">
        <f>P10+P11</f>
        <v/>
      </c>
    </row>
    <row r="13">
      <c r="A13" s="15" t="inlineStr">
        <is>
          <t>SUBSTATIONS  (Standard Life: 40 yrs)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>
      <c r="A14" s="17" t="inlineStr">
        <is>
          <t xml:space="preserve">  Opening Gross PP&amp;E</t>
        </is>
      </c>
      <c r="B14" s="26" t="n">
        <v>2400</v>
      </c>
      <c r="C14" s="26">
        <f>B17</f>
        <v/>
      </c>
      <c r="D14" s="26">
        <f>C17</f>
        <v/>
      </c>
      <c r="E14" s="26">
        <f>D17</f>
        <v/>
      </c>
      <c r="F14" s="26">
        <f>E17</f>
        <v/>
      </c>
      <c r="G14" s="39">
        <f>F17</f>
        <v/>
      </c>
      <c r="H14" s="39">
        <f>G17</f>
        <v/>
      </c>
      <c r="I14" s="39">
        <f>H17</f>
        <v/>
      </c>
      <c r="J14" s="39">
        <f>I17</f>
        <v/>
      </c>
      <c r="K14" s="39">
        <f>J17</f>
        <v/>
      </c>
      <c r="L14" s="39">
        <f>K17</f>
        <v/>
      </c>
      <c r="M14" s="39">
        <f>L17</f>
        <v/>
      </c>
      <c r="N14" s="39">
        <f>M17</f>
        <v/>
      </c>
      <c r="O14" s="39">
        <f>N17</f>
        <v/>
      </c>
      <c r="P14" s="39">
        <f>O17</f>
        <v/>
      </c>
    </row>
    <row r="15">
      <c r="A15" s="17" t="inlineStr">
        <is>
          <t xml:space="preserve">  + Additions (from Capex)</t>
        </is>
      </c>
      <c r="B15" s="26">
        <f>'Capex'!B13*0.3</f>
        <v/>
      </c>
      <c r="C15" s="26">
        <f>'Capex'!C13*0.3</f>
        <v/>
      </c>
      <c r="D15" s="26">
        <f>'Capex'!D13*0.3</f>
        <v/>
      </c>
      <c r="E15" s="26">
        <f>'Capex'!E13*0.3</f>
        <v/>
      </c>
      <c r="F15" s="26">
        <f>'Capex'!F13*0.3</f>
        <v/>
      </c>
      <c r="G15" s="39">
        <f>'Capex'!G13*0.3</f>
        <v/>
      </c>
      <c r="H15" s="39">
        <f>'Capex'!H13*0.3</f>
        <v/>
      </c>
      <c r="I15" s="39">
        <f>'Capex'!I13*0.3</f>
        <v/>
      </c>
      <c r="J15" s="39">
        <f>'Capex'!J13*0.3</f>
        <v/>
      </c>
      <c r="K15" s="39">
        <f>'Capex'!K13*0.3</f>
        <v/>
      </c>
      <c r="L15" s="39">
        <f>'Capex'!L13*0.3</f>
        <v/>
      </c>
      <c r="M15" s="39">
        <f>'Capex'!M13*0.3</f>
        <v/>
      </c>
      <c r="N15" s="39">
        <f>'Capex'!N13*0.3</f>
        <v/>
      </c>
      <c r="O15" s="39">
        <f>'Capex'!O13*0.3</f>
        <v/>
      </c>
      <c r="P15" s="39">
        <f>'Capex'!P13*0.3</f>
        <v/>
      </c>
    </row>
    <row r="16">
      <c r="A16" s="17" t="inlineStr">
        <is>
          <t xml:space="preserve">  − Disposals</t>
        </is>
      </c>
      <c r="B16" s="26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39" t="n">
        <v>0</v>
      </c>
      <c r="H16" s="39" t="n">
        <v>0</v>
      </c>
      <c r="I16" s="39" t="n">
        <v>0</v>
      </c>
      <c r="J16" s="39" t="n">
        <v>0</v>
      </c>
      <c r="K16" s="39" t="n">
        <v>0</v>
      </c>
      <c r="L16" s="39" t="n">
        <v>0</v>
      </c>
      <c r="M16" s="39" t="n">
        <v>0</v>
      </c>
      <c r="N16" s="39" t="n">
        <v>0</v>
      </c>
      <c r="O16" s="39" t="n">
        <v>0</v>
      </c>
      <c r="P16" s="39" t="n">
        <v>0</v>
      </c>
    </row>
    <row r="17">
      <c r="A17" s="17" t="inlineStr">
        <is>
          <t xml:space="preserve">  Closing Gross PP&amp;E</t>
        </is>
      </c>
      <c r="B17" s="26">
        <f>B14+B15-B16</f>
        <v/>
      </c>
      <c r="C17" s="26">
        <f>C14+C15-C16</f>
        <v/>
      </c>
      <c r="D17" s="26">
        <f>D14+D15-D16</f>
        <v/>
      </c>
      <c r="E17" s="26">
        <f>E14+E15-E16</f>
        <v/>
      </c>
      <c r="F17" s="26">
        <f>F14+F15-F16</f>
        <v/>
      </c>
      <c r="G17" s="39">
        <f>G14+G15-G16</f>
        <v/>
      </c>
      <c r="H17" s="39">
        <f>H14+H15-H16</f>
        <v/>
      </c>
      <c r="I17" s="39">
        <f>I14+I15-I16</f>
        <v/>
      </c>
      <c r="J17" s="39">
        <f>J14+J15-J16</f>
        <v/>
      </c>
      <c r="K17" s="39">
        <f>K14+K15-K16</f>
        <v/>
      </c>
      <c r="L17" s="39">
        <f>L14+L15-L16</f>
        <v/>
      </c>
      <c r="M17" s="39">
        <f>M14+M15-M16</f>
        <v/>
      </c>
      <c r="N17" s="39">
        <f>N14+N15-N16</f>
        <v/>
      </c>
      <c r="O17" s="39">
        <f>O14+O15-O16</f>
        <v/>
      </c>
      <c r="P17" s="39">
        <f>P14+P15-P16</f>
        <v/>
      </c>
    </row>
    <row r="18">
      <c r="A18" s="17" t="inlineStr">
        <is>
          <t xml:space="preserve">  Opening Accum. D&amp;A</t>
        </is>
      </c>
      <c r="B18" s="26" t="n">
        <v>800</v>
      </c>
      <c r="C18" s="26">
        <f>B20</f>
        <v/>
      </c>
      <c r="D18" s="26">
        <f>C20</f>
        <v/>
      </c>
      <c r="E18" s="26">
        <f>D20</f>
        <v/>
      </c>
      <c r="F18" s="26">
        <f>E20</f>
        <v/>
      </c>
      <c r="G18" s="39">
        <f>F20</f>
        <v/>
      </c>
      <c r="H18" s="39">
        <f>G20</f>
        <v/>
      </c>
      <c r="I18" s="39">
        <f>H20</f>
        <v/>
      </c>
      <c r="J18" s="39">
        <f>I20</f>
        <v/>
      </c>
      <c r="K18" s="39">
        <f>J20</f>
        <v/>
      </c>
      <c r="L18" s="39">
        <f>K20</f>
        <v/>
      </c>
      <c r="M18" s="39">
        <f>L20</f>
        <v/>
      </c>
      <c r="N18" s="39">
        <f>M20</f>
        <v/>
      </c>
      <c r="O18" s="39">
        <f>N20</f>
        <v/>
      </c>
      <c r="P18" s="39">
        <f>O20</f>
        <v/>
      </c>
    </row>
    <row r="19">
      <c r="A19" s="17" t="inlineStr">
        <is>
          <t xml:space="preserve">  D&amp;A Charge (closing gross / life)</t>
        </is>
      </c>
      <c r="B19" s="26">
        <f>B17/40</f>
        <v/>
      </c>
      <c r="C19" s="26">
        <f>C17/40</f>
        <v/>
      </c>
      <c r="D19" s="26">
        <f>D17/40</f>
        <v/>
      </c>
      <c r="E19" s="26">
        <f>E17/40</f>
        <v/>
      </c>
      <c r="F19" s="26">
        <f>F17/40</f>
        <v/>
      </c>
      <c r="G19" s="39">
        <f>G17/40</f>
        <v/>
      </c>
      <c r="H19" s="39">
        <f>H17/40</f>
        <v/>
      </c>
      <c r="I19" s="39">
        <f>I17/40</f>
        <v/>
      </c>
      <c r="J19" s="39">
        <f>J17/40</f>
        <v/>
      </c>
      <c r="K19" s="39">
        <f>K17/40</f>
        <v/>
      </c>
      <c r="L19" s="39">
        <f>L17/40</f>
        <v/>
      </c>
      <c r="M19" s="39">
        <f>M17/40</f>
        <v/>
      </c>
      <c r="N19" s="39">
        <f>N17/40</f>
        <v/>
      </c>
      <c r="O19" s="39">
        <f>O17/40</f>
        <v/>
      </c>
      <c r="P19" s="39">
        <f>P17/40</f>
        <v/>
      </c>
    </row>
    <row r="20">
      <c r="A20" s="17" t="inlineStr">
        <is>
          <t xml:space="preserve">  Closing Accum. D&amp;A</t>
        </is>
      </c>
      <c r="B20" s="26">
        <f>B18+B19</f>
        <v/>
      </c>
      <c r="C20" s="26">
        <f>C18+C19</f>
        <v/>
      </c>
      <c r="D20" s="26">
        <f>D18+D19</f>
        <v/>
      </c>
      <c r="E20" s="26">
        <f>E18+E19</f>
        <v/>
      </c>
      <c r="F20" s="26">
        <f>F18+F19</f>
        <v/>
      </c>
      <c r="G20" s="39">
        <f>G18+G19</f>
        <v/>
      </c>
      <c r="H20" s="39">
        <f>H18+H19</f>
        <v/>
      </c>
      <c r="I20" s="39">
        <f>I18+I19</f>
        <v/>
      </c>
      <c r="J20" s="39">
        <f>J18+J19</f>
        <v/>
      </c>
      <c r="K20" s="39">
        <f>K18+K19</f>
        <v/>
      </c>
      <c r="L20" s="39">
        <f>L18+L19</f>
        <v/>
      </c>
      <c r="M20" s="39">
        <f>M18+M19</f>
        <v/>
      </c>
      <c r="N20" s="39">
        <f>N18+N19</f>
        <v/>
      </c>
      <c r="O20" s="39">
        <f>O18+O19</f>
        <v/>
      </c>
      <c r="P20" s="39">
        <f>P18+P19</f>
        <v/>
      </c>
    </row>
    <row r="21">
      <c r="A21" s="15" t="inlineStr">
        <is>
          <t>TRANSFORMERS  (Standard Life: 30 yrs)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</row>
    <row r="22">
      <c r="A22" s="17" t="inlineStr">
        <is>
          <t xml:space="preserve">  Opening Gross PP&amp;E</t>
        </is>
      </c>
      <c r="B22" s="26" t="n">
        <v>1200</v>
      </c>
      <c r="C22" s="26">
        <f>B25</f>
        <v/>
      </c>
      <c r="D22" s="26">
        <f>C25</f>
        <v/>
      </c>
      <c r="E22" s="26">
        <f>D25</f>
        <v/>
      </c>
      <c r="F22" s="26">
        <f>E25</f>
        <v/>
      </c>
      <c r="G22" s="39">
        <f>F25</f>
        <v/>
      </c>
      <c r="H22" s="39">
        <f>G25</f>
        <v/>
      </c>
      <c r="I22" s="39">
        <f>H25</f>
        <v/>
      </c>
      <c r="J22" s="39">
        <f>I25</f>
        <v/>
      </c>
      <c r="K22" s="39">
        <f>J25</f>
        <v/>
      </c>
      <c r="L22" s="39">
        <f>K25</f>
        <v/>
      </c>
      <c r="M22" s="39">
        <f>L25</f>
        <v/>
      </c>
      <c r="N22" s="39">
        <f>M25</f>
        <v/>
      </c>
      <c r="O22" s="39">
        <f>N25</f>
        <v/>
      </c>
      <c r="P22" s="39">
        <f>O25</f>
        <v/>
      </c>
    </row>
    <row r="23">
      <c r="A23" s="17" t="inlineStr">
        <is>
          <t xml:space="preserve">  + Additions (from Capex)</t>
        </is>
      </c>
      <c r="B23" s="26">
        <f>'Capex'!B13*0.1</f>
        <v/>
      </c>
      <c r="C23" s="26">
        <f>'Capex'!C13*0.1</f>
        <v/>
      </c>
      <c r="D23" s="26">
        <f>'Capex'!D13*0.1</f>
        <v/>
      </c>
      <c r="E23" s="26">
        <f>'Capex'!E13*0.1</f>
        <v/>
      </c>
      <c r="F23" s="26">
        <f>'Capex'!F13*0.1</f>
        <v/>
      </c>
      <c r="G23" s="39">
        <f>'Capex'!G13*0.1</f>
        <v/>
      </c>
      <c r="H23" s="39">
        <f>'Capex'!H13*0.1</f>
        <v/>
      </c>
      <c r="I23" s="39">
        <f>'Capex'!I13*0.1</f>
        <v/>
      </c>
      <c r="J23" s="39">
        <f>'Capex'!J13*0.1</f>
        <v/>
      </c>
      <c r="K23" s="39">
        <f>'Capex'!K13*0.1</f>
        <v/>
      </c>
      <c r="L23" s="39">
        <f>'Capex'!L13*0.1</f>
        <v/>
      </c>
      <c r="M23" s="39">
        <f>'Capex'!M13*0.1</f>
        <v/>
      </c>
      <c r="N23" s="39">
        <f>'Capex'!N13*0.1</f>
        <v/>
      </c>
      <c r="O23" s="39">
        <f>'Capex'!O13*0.1</f>
        <v/>
      </c>
      <c r="P23" s="39">
        <f>'Capex'!P13*0.1</f>
        <v/>
      </c>
    </row>
    <row r="24">
      <c r="A24" s="17" t="inlineStr">
        <is>
          <t xml:space="preserve">  − Disposals</t>
        </is>
      </c>
      <c r="B24" s="26" t="n">
        <v>0</v>
      </c>
      <c r="C24" s="26" t="n">
        <v>0</v>
      </c>
      <c r="D24" s="26" t="n">
        <v>0</v>
      </c>
      <c r="E24" s="26" t="n">
        <v>0</v>
      </c>
      <c r="F24" s="26" t="n">
        <v>0</v>
      </c>
      <c r="G24" s="39" t="n">
        <v>0</v>
      </c>
      <c r="H24" s="39" t="n">
        <v>0</v>
      </c>
      <c r="I24" s="39" t="n">
        <v>0</v>
      </c>
      <c r="J24" s="39" t="n">
        <v>0</v>
      </c>
      <c r="K24" s="39" t="n">
        <v>0</v>
      </c>
      <c r="L24" s="39" t="n">
        <v>0</v>
      </c>
      <c r="M24" s="39" t="n">
        <v>0</v>
      </c>
      <c r="N24" s="39" t="n">
        <v>0</v>
      </c>
      <c r="O24" s="39" t="n">
        <v>0</v>
      </c>
      <c r="P24" s="39" t="n">
        <v>0</v>
      </c>
    </row>
    <row r="25">
      <c r="A25" s="17" t="inlineStr">
        <is>
          <t xml:space="preserve">  Closing Gross PP&amp;E</t>
        </is>
      </c>
      <c r="B25" s="26">
        <f>B22+B23-B24</f>
        <v/>
      </c>
      <c r="C25" s="26">
        <f>C22+C23-C24</f>
        <v/>
      </c>
      <c r="D25" s="26">
        <f>D22+D23-D24</f>
        <v/>
      </c>
      <c r="E25" s="26">
        <f>E22+E23-E24</f>
        <v/>
      </c>
      <c r="F25" s="26">
        <f>F22+F23-F24</f>
        <v/>
      </c>
      <c r="G25" s="39">
        <f>G22+G23-G24</f>
        <v/>
      </c>
      <c r="H25" s="39">
        <f>H22+H23-H24</f>
        <v/>
      </c>
      <c r="I25" s="39">
        <f>I22+I23-I24</f>
        <v/>
      </c>
      <c r="J25" s="39">
        <f>J22+J23-J24</f>
        <v/>
      </c>
      <c r="K25" s="39">
        <f>K22+K23-K24</f>
        <v/>
      </c>
      <c r="L25" s="39">
        <f>L22+L23-L24</f>
        <v/>
      </c>
      <c r="M25" s="39">
        <f>M22+M23-M24</f>
        <v/>
      </c>
      <c r="N25" s="39">
        <f>N22+N23-N24</f>
        <v/>
      </c>
      <c r="O25" s="39">
        <f>O22+O23-O24</f>
        <v/>
      </c>
      <c r="P25" s="39">
        <f>P22+P23-P24</f>
        <v/>
      </c>
    </row>
    <row r="26">
      <c r="A26" s="17" t="inlineStr">
        <is>
          <t xml:space="preserve">  Opening Accum. D&amp;A</t>
        </is>
      </c>
      <c r="B26" s="26" t="n">
        <v>480</v>
      </c>
      <c r="C26" s="26">
        <f>B28</f>
        <v/>
      </c>
      <c r="D26" s="26">
        <f>C28</f>
        <v/>
      </c>
      <c r="E26" s="26">
        <f>D28</f>
        <v/>
      </c>
      <c r="F26" s="26">
        <f>E28</f>
        <v/>
      </c>
      <c r="G26" s="39">
        <f>F28</f>
        <v/>
      </c>
      <c r="H26" s="39">
        <f>G28</f>
        <v/>
      </c>
      <c r="I26" s="39">
        <f>H28</f>
        <v/>
      </c>
      <c r="J26" s="39">
        <f>I28</f>
        <v/>
      </c>
      <c r="K26" s="39">
        <f>J28</f>
        <v/>
      </c>
      <c r="L26" s="39">
        <f>K28</f>
        <v/>
      </c>
      <c r="M26" s="39">
        <f>L28</f>
        <v/>
      </c>
      <c r="N26" s="39">
        <f>M28</f>
        <v/>
      </c>
      <c r="O26" s="39">
        <f>N28</f>
        <v/>
      </c>
      <c r="P26" s="39">
        <f>O28</f>
        <v/>
      </c>
    </row>
    <row r="27">
      <c r="A27" s="17" t="inlineStr">
        <is>
          <t xml:space="preserve">  D&amp;A Charge (closing gross / life)</t>
        </is>
      </c>
      <c r="B27" s="26">
        <f>B25/30</f>
        <v/>
      </c>
      <c r="C27" s="26">
        <f>C25/30</f>
        <v/>
      </c>
      <c r="D27" s="26">
        <f>D25/30</f>
        <v/>
      </c>
      <c r="E27" s="26">
        <f>E25/30</f>
        <v/>
      </c>
      <c r="F27" s="26">
        <f>F25/30</f>
        <v/>
      </c>
      <c r="G27" s="39">
        <f>G25/30</f>
        <v/>
      </c>
      <c r="H27" s="39">
        <f>H25/30</f>
        <v/>
      </c>
      <c r="I27" s="39">
        <f>I25/30</f>
        <v/>
      </c>
      <c r="J27" s="39">
        <f>J25/30</f>
        <v/>
      </c>
      <c r="K27" s="39">
        <f>K25/30</f>
        <v/>
      </c>
      <c r="L27" s="39">
        <f>L25/30</f>
        <v/>
      </c>
      <c r="M27" s="39">
        <f>M25/30</f>
        <v/>
      </c>
      <c r="N27" s="39">
        <f>N25/30</f>
        <v/>
      </c>
      <c r="O27" s="39">
        <f>O25/30</f>
        <v/>
      </c>
      <c r="P27" s="39">
        <f>P25/30</f>
        <v/>
      </c>
    </row>
    <row r="28">
      <c r="A28" s="17" t="inlineStr">
        <is>
          <t xml:space="preserve">  Closing Accum. D&amp;A</t>
        </is>
      </c>
      <c r="B28" s="26">
        <f>B26+B27</f>
        <v/>
      </c>
      <c r="C28" s="26">
        <f>C26+C27</f>
        <v/>
      </c>
      <c r="D28" s="26">
        <f>D26+D27</f>
        <v/>
      </c>
      <c r="E28" s="26">
        <f>E26+E27</f>
        <v/>
      </c>
      <c r="F28" s="26">
        <f>F26+F27</f>
        <v/>
      </c>
      <c r="G28" s="39">
        <f>G26+G27</f>
        <v/>
      </c>
      <c r="H28" s="39">
        <f>H26+H27</f>
        <v/>
      </c>
      <c r="I28" s="39">
        <f>I26+I27</f>
        <v/>
      </c>
      <c r="J28" s="39">
        <f>J26+J27</f>
        <v/>
      </c>
      <c r="K28" s="39">
        <f>K26+K27</f>
        <v/>
      </c>
      <c r="L28" s="39">
        <f>L26+L27</f>
        <v/>
      </c>
      <c r="M28" s="39">
        <f>M26+M27</f>
        <v/>
      </c>
      <c r="N28" s="39">
        <f>N26+N27</f>
        <v/>
      </c>
      <c r="O28" s="39">
        <f>O26+O27</f>
        <v/>
      </c>
      <c r="P28" s="39">
        <f>P26+P27</f>
        <v/>
      </c>
    </row>
    <row r="29">
      <c r="A29" s="15" t="inlineStr">
        <is>
          <t>SCADA &amp; CONTROL  (Standard Life: 15 yrs)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7" t="inlineStr">
        <is>
          <t xml:space="preserve">  Opening Gross PP&amp;E</t>
        </is>
      </c>
      <c r="B30" s="26" t="n">
        <v>600</v>
      </c>
      <c r="C30" s="26">
        <f>B33</f>
        <v/>
      </c>
      <c r="D30" s="26">
        <f>C33</f>
        <v/>
      </c>
      <c r="E30" s="26">
        <f>D33</f>
        <v/>
      </c>
      <c r="F30" s="26">
        <f>E33</f>
        <v/>
      </c>
      <c r="G30" s="39">
        <f>F33</f>
        <v/>
      </c>
      <c r="H30" s="39">
        <f>G33</f>
        <v/>
      </c>
      <c r="I30" s="39">
        <f>H33</f>
        <v/>
      </c>
      <c r="J30" s="39">
        <f>I33</f>
        <v/>
      </c>
      <c r="K30" s="39">
        <f>J33</f>
        <v/>
      </c>
      <c r="L30" s="39">
        <f>K33</f>
        <v/>
      </c>
      <c r="M30" s="39">
        <f>L33</f>
        <v/>
      </c>
      <c r="N30" s="39">
        <f>M33</f>
        <v/>
      </c>
      <c r="O30" s="39">
        <f>N33</f>
        <v/>
      </c>
      <c r="P30" s="39">
        <f>O33</f>
        <v/>
      </c>
    </row>
    <row r="31">
      <c r="A31" s="17" t="inlineStr">
        <is>
          <t xml:space="preserve">  + Additions (from Capex)</t>
        </is>
      </c>
      <c r="B31" s="26">
        <f>'Capex'!B13*0.07</f>
        <v/>
      </c>
      <c r="C31" s="26">
        <f>'Capex'!C13*0.07</f>
        <v/>
      </c>
      <c r="D31" s="26">
        <f>'Capex'!D13*0.07</f>
        <v/>
      </c>
      <c r="E31" s="26">
        <f>'Capex'!E13*0.07</f>
        <v/>
      </c>
      <c r="F31" s="26">
        <f>'Capex'!F13*0.07</f>
        <v/>
      </c>
      <c r="G31" s="39">
        <f>'Capex'!G13*0.07</f>
        <v/>
      </c>
      <c r="H31" s="39">
        <f>'Capex'!H13*0.07</f>
        <v/>
      </c>
      <c r="I31" s="39">
        <f>'Capex'!I13*0.07</f>
        <v/>
      </c>
      <c r="J31" s="39">
        <f>'Capex'!J13*0.07</f>
        <v/>
      </c>
      <c r="K31" s="39">
        <f>'Capex'!K13*0.07</f>
        <v/>
      </c>
      <c r="L31" s="39">
        <f>'Capex'!L13*0.07</f>
        <v/>
      </c>
      <c r="M31" s="39">
        <f>'Capex'!M13*0.07</f>
        <v/>
      </c>
      <c r="N31" s="39">
        <f>'Capex'!N13*0.07</f>
        <v/>
      </c>
      <c r="O31" s="39">
        <f>'Capex'!O13*0.07</f>
        <v/>
      </c>
      <c r="P31" s="39">
        <f>'Capex'!P13*0.07</f>
        <v/>
      </c>
    </row>
    <row r="32">
      <c r="A32" s="17" t="inlineStr">
        <is>
          <t xml:space="preserve">  − Disposals</t>
        </is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39" t="n">
        <v>0</v>
      </c>
      <c r="H32" s="39" t="n">
        <v>0</v>
      </c>
      <c r="I32" s="39" t="n">
        <v>0</v>
      </c>
      <c r="J32" s="39" t="n">
        <v>0</v>
      </c>
      <c r="K32" s="39" t="n">
        <v>0</v>
      </c>
      <c r="L32" s="39" t="n">
        <v>0</v>
      </c>
      <c r="M32" s="39" t="n">
        <v>0</v>
      </c>
      <c r="N32" s="39" t="n">
        <v>0</v>
      </c>
      <c r="O32" s="39" t="n">
        <v>0</v>
      </c>
      <c r="P32" s="39" t="n">
        <v>0</v>
      </c>
    </row>
    <row r="33">
      <c r="A33" s="17" t="inlineStr">
        <is>
          <t xml:space="preserve">  Closing Gross PP&amp;E</t>
        </is>
      </c>
      <c r="B33" s="26">
        <f>B30+B31-B32</f>
        <v/>
      </c>
      <c r="C33" s="26">
        <f>C30+C31-C32</f>
        <v/>
      </c>
      <c r="D33" s="26">
        <f>D30+D31-D32</f>
        <v/>
      </c>
      <c r="E33" s="26">
        <f>E30+E31-E32</f>
        <v/>
      </c>
      <c r="F33" s="26">
        <f>F30+F31-F32</f>
        <v/>
      </c>
      <c r="G33" s="39">
        <f>G30+G31-G32</f>
        <v/>
      </c>
      <c r="H33" s="39">
        <f>H30+H31-H32</f>
        <v/>
      </c>
      <c r="I33" s="39">
        <f>I30+I31-I32</f>
        <v/>
      </c>
      <c r="J33" s="39">
        <f>J30+J31-J32</f>
        <v/>
      </c>
      <c r="K33" s="39">
        <f>K30+K31-K32</f>
        <v/>
      </c>
      <c r="L33" s="39">
        <f>L30+L31-L32</f>
        <v/>
      </c>
      <c r="M33" s="39">
        <f>M30+M31-M32</f>
        <v/>
      </c>
      <c r="N33" s="39">
        <f>N30+N31-N32</f>
        <v/>
      </c>
      <c r="O33" s="39">
        <f>O30+O31-O32</f>
        <v/>
      </c>
      <c r="P33" s="39">
        <f>P30+P31-P32</f>
        <v/>
      </c>
    </row>
    <row r="34">
      <c r="A34" s="17" t="inlineStr">
        <is>
          <t xml:space="preserve">  Opening Accum. D&amp;A</t>
        </is>
      </c>
      <c r="B34" s="26" t="n">
        <v>180</v>
      </c>
      <c r="C34" s="26">
        <f>B36</f>
        <v/>
      </c>
      <c r="D34" s="26">
        <f>C36</f>
        <v/>
      </c>
      <c r="E34" s="26">
        <f>D36</f>
        <v/>
      </c>
      <c r="F34" s="26">
        <f>E36</f>
        <v/>
      </c>
      <c r="G34" s="39">
        <f>F36</f>
        <v/>
      </c>
      <c r="H34" s="39">
        <f>G36</f>
        <v/>
      </c>
      <c r="I34" s="39">
        <f>H36</f>
        <v/>
      </c>
      <c r="J34" s="39">
        <f>I36</f>
        <v/>
      </c>
      <c r="K34" s="39">
        <f>J36</f>
        <v/>
      </c>
      <c r="L34" s="39">
        <f>K36</f>
        <v/>
      </c>
      <c r="M34" s="39">
        <f>L36</f>
        <v/>
      </c>
      <c r="N34" s="39">
        <f>M36</f>
        <v/>
      </c>
      <c r="O34" s="39">
        <f>N36</f>
        <v/>
      </c>
      <c r="P34" s="39">
        <f>O36</f>
        <v/>
      </c>
    </row>
    <row r="35">
      <c r="A35" s="17" t="inlineStr">
        <is>
          <t xml:space="preserve">  D&amp;A Charge (closing gross / life)</t>
        </is>
      </c>
      <c r="B35" s="26">
        <f>B33/15</f>
        <v/>
      </c>
      <c r="C35" s="26">
        <f>C33/15</f>
        <v/>
      </c>
      <c r="D35" s="26">
        <f>D33/15</f>
        <v/>
      </c>
      <c r="E35" s="26">
        <f>E33/15</f>
        <v/>
      </c>
      <c r="F35" s="26">
        <f>F33/15</f>
        <v/>
      </c>
      <c r="G35" s="39">
        <f>G33/15</f>
        <v/>
      </c>
      <c r="H35" s="39">
        <f>H33/15</f>
        <v/>
      </c>
      <c r="I35" s="39">
        <f>I33/15</f>
        <v/>
      </c>
      <c r="J35" s="39">
        <f>J33/15</f>
        <v/>
      </c>
      <c r="K35" s="39">
        <f>K33/15</f>
        <v/>
      </c>
      <c r="L35" s="39">
        <f>L33/15</f>
        <v/>
      </c>
      <c r="M35" s="39">
        <f>M33/15</f>
        <v/>
      </c>
      <c r="N35" s="39">
        <f>N33/15</f>
        <v/>
      </c>
      <c r="O35" s="39">
        <f>O33/15</f>
        <v/>
      </c>
      <c r="P35" s="39">
        <f>P33/15</f>
        <v/>
      </c>
    </row>
    <row r="36">
      <c r="A36" s="17" t="inlineStr">
        <is>
          <t xml:space="preserve">  Closing Accum. D&amp;A</t>
        </is>
      </c>
      <c r="B36" s="26">
        <f>B34+B35</f>
        <v/>
      </c>
      <c r="C36" s="26">
        <f>C34+C35</f>
        <v/>
      </c>
      <c r="D36" s="26">
        <f>D34+D35</f>
        <v/>
      </c>
      <c r="E36" s="26">
        <f>E34+E35</f>
        <v/>
      </c>
      <c r="F36" s="26">
        <f>F34+F35</f>
        <v/>
      </c>
      <c r="G36" s="39">
        <f>G34+G35</f>
        <v/>
      </c>
      <c r="H36" s="39">
        <f>H34+H35</f>
        <v/>
      </c>
      <c r="I36" s="39">
        <f>I34+I35</f>
        <v/>
      </c>
      <c r="J36" s="39">
        <f>J34+J35</f>
        <v/>
      </c>
      <c r="K36" s="39">
        <f>K34+K35</f>
        <v/>
      </c>
      <c r="L36" s="39">
        <f>L34+L35</f>
        <v/>
      </c>
      <c r="M36" s="39">
        <f>M34+M35</f>
        <v/>
      </c>
      <c r="N36" s="39">
        <f>N34+N35</f>
        <v/>
      </c>
      <c r="O36" s="39">
        <f>O34+O35</f>
        <v/>
      </c>
      <c r="P36" s="39">
        <f>P34+P35</f>
        <v/>
      </c>
    </row>
    <row r="37">
      <c r="A37" s="15" t="inlineStr">
        <is>
          <t>OTHER EQUIPMENT  (Standard Life: 20 yrs)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</row>
    <row r="38">
      <c r="A38" s="17" t="inlineStr">
        <is>
          <t xml:space="preserve">  Opening Gross PP&amp;E</t>
        </is>
      </c>
      <c r="B38" s="26" t="n">
        <v>400</v>
      </c>
      <c r="C38" s="26">
        <f>B41</f>
        <v/>
      </c>
      <c r="D38" s="26">
        <f>C41</f>
        <v/>
      </c>
      <c r="E38" s="26">
        <f>D41</f>
        <v/>
      </c>
      <c r="F38" s="26">
        <f>E41</f>
        <v/>
      </c>
      <c r="G38" s="39">
        <f>F41</f>
        <v/>
      </c>
      <c r="H38" s="39">
        <f>G41</f>
        <v/>
      </c>
      <c r="I38" s="39">
        <f>H41</f>
        <v/>
      </c>
      <c r="J38" s="39">
        <f>I41</f>
        <v/>
      </c>
      <c r="K38" s="39">
        <f>J41</f>
        <v/>
      </c>
      <c r="L38" s="39">
        <f>K41</f>
        <v/>
      </c>
      <c r="M38" s="39">
        <f>L41</f>
        <v/>
      </c>
      <c r="N38" s="39">
        <f>M41</f>
        <v/>
      </c>
      <c r="O38" s="39">
        <f>N41</f>
        <v/>
      </c>
      <c r="P38" s="39">
        <f>O41</f>
        <v/>
      </c>
    </row>
    <row r="39">
      <c r="A39" s="17" t="inlineStr">
        <is>
          <t xml:space="preserve">  + Additions (from Capex)</t>
        </is>
      </c>
      <c r="B39" s="26">
        <f>'Capex'!B13*0.03</f>
        <v/>
      </c>
      <c r="C39" s="26">
        <f>'Capex'!C13*0.03</f>
        <v/>
      </c>
      <c r="D39" s="26">
        <f>'Capex'!D13*0.03</f>
        <v/>
      </c>
      <c r="E39" s="26">
        <f>'Capex'!E13*0.03</f>
        <v/>
      </c>
      <c r="F39" s="26">
        <f>'Capex'!F13*0.03</f>
        <v/>
      </c>
      <c r="G39" s="39">
        <f>'Capex'!G13*0.03</f>
        <v/>
      </c>
      <c r="H39" s="39">
        <f>'Capex'!H13*0.03</f>
        <v/>
      </c>
      <c r="I39" s="39">
        <f>'Capex'!I13*0.03</f>
        <v/>
      </c>
      <c r="J39" s="39">
        <f>'Capex'!J13*0.03</f>
        <v/>
      </c>
      <c r="K39" s="39">
        <f>'Capex'!K13*0.03</f>
        <v/>
      </c>
      <c r="L39" s="39">
        <f>'Capex'!L13*0.03</f>
        <v/>
      </c>
      <c r="M39" s="39">
        <f>'Capex'!M13*0.03</f>
        <v/>
      </c>
      <c r="N39" s="39">
        <f>'Capex'!N13*0.03</f>
        <v/>
      </c>
      <c r="O39" s="39">
        <f>'Capex'!O13*0.03</f>
        <v/>
      </c>
      <c r="P39" s="39">
        <f>'Capex'!P13*0.03</f>
        <v/>
      </c>
    </row>
    <row r="40">
      <c r="A40" s="17" t="inlineStr">
        <is>
          <t xml:space="preserve">  − Disposals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0</v>
      </c>
      <c r="M40" s="39" t="n">
        <v>0</v>
      </c>
      <c r="N40" s="39" t="n">
        <v>0</v>
      </c>
      <c r="O40" s="39" t="n">
        <v>0</v>
      </c>
      <c r="P40" s="39" t="n">
        <v>0</v>
      </c>
    </row>
    <row r="41">
      <c r="A41" s="17" t="inlineStr">
        <is>
          <t xml:space="preserve">  Closing Gross PP&amp;E</t>
        </is>
      </c>
      <c r="B41" s="26">
        <f>B38+B39-B40</f>
        <v/>
      </c>
      <c r="C41" s="26">
        <f>C38+C39-C40</f>
        <v/>
      </c>
      <c r="D41" s="26">
        <f>D38+D39-D40</f>
        <v/>
      </c>
      <c r="E41" s="26">
        <f>E38+E39-E40</f>
        <v/>
      </c>
      <c r="F41" s="26">
        <f>F38+F39-F40</f>
        <v/>
      </c>
      <c r="G41" s="39">
        <f>G38+G39-G40</f>
        <v/>
      </c>
      <c r="H41" s="39">
        <f>H38+H39-H40</f>
        <v/>
      </c>
      <c r="I41" s="39">
        <f>I38+I39-I40</f>
        <v/>
      </c>
      <c r="J41" s="39">
        <f>J38+J39-J40</f>
        <v/>
      </c>
      <c r="K41" s="39">
        <f>K38+K39-K40</f>
        <v/>
      </c>
      <c r="L41" s="39">
        <f>L38+L39-L40</f>
        <v/>
      </c>
      <c r="M41" s="39">
        <f>M38+M39-M40</f>
        <v/>
      </c>
      <c r="N41" s="39">
        <f>N38+N39-N40</f>
        <v/>
      </c>
      <c r="O41" s="39">
        <f>O38+O39-O40</f>
        <v/>
      </c>
      <c r="P41" s="39">
        <f>P38+P39-P40</f>
        <v/>
      </c>
    </row>
    <row r="42">
      <c r="A42" s="17" t="inlineStr">
        <is>
          <t xml:space="preserve">  Opening Accum. D&amp;A</t>
        </is>
      </c>
      <c r="B42" s="26" t="n">
        <v>73</v>
      </c>
      <c r="C42" s="26">
        <f>B44</f>
        <v/>
      </c>
      <c r="D42" s="26">
        <f>C44</f>
        <v/>
      </c>
      <c r="E42" s="26">
        <f>D44</f>
        <v/>
      </c>
      <c r="F42" s="26">
        <f>E44</f>
        <v/>
      </c>
      <c r="G42" s="39">
        <f>F44</f>
        <v/>
      </c>
      <c r="H42" s="39">
        <f>G44</f>
        <v/>
      </c>
      <c r="I42" s="39">
        <f>H44</f>
        <v/>
      </c>
      <c r="J42" s="39">
        <f>I44</f>
        <v/>
      </c>
      <c r="K42" s="39">
        <f>J44</f>
        <v/>
      </c>
      <c r="L42" s="39">
        <f>K44</f>
        <v/>
      </c>
      <c r="M42" s="39">
        <f>L44</f>
        <v/>
      </c>
      <c r="N42" s="39">
        <f>M44</f>
        <v/>
      </c>
      <c r="O42" s="39">
        <f>N44</f>
        <v/>
      </c>
      <c r="P42" s="39">
        <f>O44</f>
        <v/>
      </c>
    </row>
    <row r="43">
      <c r="A43" s="17" t="inlineStr">
        <is>
          <t xml:space="preserve">  D&amp;A Charge (closing gross / life)</t>
        </is>
      </c>
      <c r="B43" s="26">
        <f>B41/20</f>
        <v/>
      </c>
      <c r="C43" s="26">
        <f>C41/20</f>
        <v/>
      </c>
      <c r="D43" s="26">
        <f>D41/20</f>
        <v/>
      </c>
      <c r="E43" s="26">
        <f>E41/20</f>
        <v/>
      </c>
      <c r="F43" s="26">
        <f>F41/20</f>
        <v/>
      </c>
      <c r="G43" s="39">
        <f>G41/20</f>
        <v/>
      </c>
      <c r="H43" s="39">
        <f>H41/20</f>
        <v/>
      </c>
      <c r="I43" s="39">
        <f>I41/20</f>
        <v/>
      </c>
      <c r="J43" s="39">
        <f>J41/20</f>
        <v/>
      </c>
      <c r="K43" s="39">
        <f>K41/20</f>
        <v/>
      </c>
      <c r="L43" s="39">
        <f>L41/20</f>
        <v/>
      </c>
      <c r="M43" s="39">
        <f>M41/20</f>
        <v/>
      </c>
      <c r="N43" s="39">
        <f>N41/20</f>
        <v/>
      </c>
      <c r="O43" s="39">
        <f>O41/20</f>
        <v/>
      </c>
      <c r="P43" s="39">
        <f>P41/20</f>
        <v/>
      </c>
    </row>
    <row r="44">
      <c r="A44" s="17" t="inlineStr">
        <is>
          <t xml:space="preserve">  Closing Accum. D&amp;A</t>
        </is>
      </c>
      <c r="B44" s="26">
        <f>B42+B43</f>
        <v/>
      </c>
      <c r="C44" s="26">
        <f>C42+C43</f>
        <v/>
      </c>
      <c r="D44" s="26">
        <f>D42+D43</f>
        <v/>
      </c>
      <c r="E44" s="26">
        <f>E42+E43</f>
        <v/>
      </c>
      <c r="F44" s="26">
        <f>F42+F43</f>
        <v/>
      </c>
      <c r="G44" s="39">
        <f>G42+G43</f>
        <v/>
      </c>
      <c r="H44" s="39">
        <f>H42+H43</f>
        <v/>
      </c>
      <c r="I44" s="39">
        <f>I42+I43</f>
        <v/>
      </c>
      <c r="J44" s="39">
        <f>J42+J43</f>
        <v/>
      </c>
      <c r="K44" s="39">
        <f>K42+K43</f>
        <v/>
      </c>
      <c r="L44" s="39">
        <f>L42+L43</f>
        <v/>
      </c>
      <c r="M44" s="39">
        <f>M42+M43</f>
        <v/>
      </c>
      <c r="N44" s="39">
        <f>N42+N43</f>
        <v/>
      </c>
      <c r="O44" s="39">
        <f>O42+O43</f>
        <v/>
      </c>
      <c r="P44" s="39">
        <f>P42+P43</f>
        <v/>
      </c>
    </row>
    <row r="46" ht="16" customHeight="1">
      <c r="A46" s="15" t="inlineStr">
        <is>
          <t>CONSOLIDATED TOTALS ($M)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>
      <c r="A47" s="17" t="inlineStr">
        <is>
          <t xml:space="preserve">  Total Gross PP&amp;E</t>
        </is>
      </c>
      <c r="B47" s="43">
        <f>B9+B17+B25+B33+B41</f>
        <v/>
      </c>
      <c r="C47" s="43">
        <f>C9+C17+C25+C33+C41</f>
        <v/>
      </c>
      <c r="D47" s="43">
        <f>D9+D17+D25+D33+D41</f>
        <v/>
      </c>
      <c r="E47" s="43">
        <f>E9+E17+E25+E33+E41</f>
        <v/>
      </c>
      <c r="F47" s="43">
        <f>F9+F17+F25+F33+F41</f>
        <v/>
      </c>
      <c r="G47" s="47">
        <f>G9+G17+G25+G33+G41</f>
        <v/>
      </c>
      <c r="H47" s="47">
        <f>H9+H17+H25+H33+H41</f>
        <v/>
      </c>
      <c r="I47" s="47">
        <f>I9+I17+I25+I33+I41</f>
        <v/>
      </c>
      <c r="J47" s="47">
        <f>J9+J17+J25+J33+J41</f>
        <v/>
      </c>
      <c r="K47" s="47">
        <f>K9+K17+K25+K33+K41</f>
        <v/>
      </c>
      <c r="L47" s="47">
        <f>L9+L17+L25+L33+L41</f>
        <v/>
      </c>
      <c r="M47" s="47">
        <f>M9+M17+M25+M33+M41</f>
        <v/>
      </c>
      <c r="N47" s="47">
        <f>N9+N17+N25+N33+N41</f>
        <v/>
      </c>
      <c r="O47" s="47">
        <f>O9+O17+O25+O33+O41</f>
        <v/>
      </c>
      <c r="P47" s="47">
        <f>P9+P17+P25+P33+P41</f>
        <v/>
      </c>
    </row>
    <row r="48">
      <c r="A48" s="17" t="inlineStr">
        <is>
          <t xml:space="preserve">  Total Accum. D&amp;A</t>
        </is>
      </c>
      <c r="B48" s="43">
        <f>B12+B20+B28+B36+B44</f>
        <v/>
      </c>
      <c r="C48" s="43">
        <f>C12+C20+C28+C36+C44</f>
        <v/>
      </c>
      <c r="D48" s="43">
        <f>D12+D20+D28+D36+D44</f>
        <v/>
      </c>
      <c r="E48" s="43">
        <f>E12+E20+E28+E36+E44</f>
        <v/>
      </c>
      <c r="F48" s="43">
        <f>F12+F20+F28+F36+F44</f>
        <v/>
      </c>
      <c r="G48" s="47">
        <f>G12+G20+G28+G36+G44</f>
        <v/>
      </c>
      <c r="H48" s="47">
        <f>H12+H20+H28+H36+H44</f>
        <v/>
      </c>
      <c r="I48" s="47">
        <f>I12+I20+I28+I36+I44</f>
        <v/>
      </c>
      <c r="J48" s="47">
        <f>J12+J20+J28+J36+J44</f>
        <v/>
      </c>
      <c r="K48" s="47">
        <f>K12+K20+K28+K36+K44</f>
        <v/>
      </c>
      <c r="L48" s="47">
        <f>L12+L20+L28+L36+L44</f>
        <v/>
      </c>
      <c r="M48" s="47">
        <f>M12+M20+M28+M36+M44</f>
        <v/>
      </c>
      <c r="N48" s="47">
        <f>N12+N20+N28+N36+N44</f>
        <v/>
      </c>
      <c r="O48" s="47">
        <f>O12+O20+O28+O36+O44</f>
        <v/>
      </c>
      <c r="P48" s="47">
        <f>P12+P20+P28+P36+P44</f>
        <v/>
      </c>
    </row>
    <row r="49">
      <c r="A49" s="17" t="inlineStr">
        <is>
          <t xml:space="preserve">  Total Net PP&amp;E</t>
        </is>
      </c>
      <c r="B49" s="44">
        <f>B47-B48</f>
        <v/>
      </c>
      <c r="C49" s="44">
        <f>C47-C48</f>
        <v/>
      </c>
      <c r="D49" s="44">
        <f>D47-D48</f>
        <v/>
      </c>
      <c r="E49" s="44">
        <f>E47-E48</f>
        <v/>
      </c>
      <c r="F49" s="44">
        <f>F47-F48</f>
        <v/>
      </c>
      <c r="G49" s="44">
        <f>G47-G48</f>
        <v/>
      </c>
      <c r="H49" s="44">
        <f>H47-H48</f>
        <v/>
      </c>
      <c r="I49" s="44">
        <f>I47-I48</f>
        <v/>
      </c>
      <c r="J49" s="44">
        <f>J47-J48</f>
        <v/>
      </c>
      <c r="K49" s="44">
        <f>K47-K48</f>
        <v/>
      </c>
      <c r="L49" s="44">
        <f>L47-L48</f>
        <v/>
      </c>
      <c r="M49" s="44">
        <f>M47-M48</f>
        <v/>
      </c>
      <c r="N49" s="44">
        <f>N47-N48</f>
        <v/>
      </c>
      <c r="O49" s="44">
        <f>O47-O48</f>
        <v/>
      </c>
      <c r="P49" s="44">
        <f>P47-P48</f>
        <v/>
      </c>
    </row>
    <row r="50">
      <c r="A50" s="17" t="inlineStr">
        <is>
          <t xml:space="preserve">  Total D&amp;A Charge (feeds IS D&amp;A)</t>
        </is>
      </c>
      <c r="B50" s="43">
        <f>B11+B19+B27+B35+B43</f>
        <v/>
      </c>
      <c r="C50" s="43">
        <f>C11+C19+C27+C35+C43</f>
        <v/>
      </c>
      <c r="D50" s="43">
        <f>D11+D19+D27+D35+D43</f>
        <v/>
      </c>
      <c r="E50" s="43">
        <f>E11+E19+E27+E35+E43</f>
        <v/>
      </c>
      <c r="F50" s="43">
        <f>F11+F19+F27+F35+F43</f>
        <v/>
      </c>
      <c r="G50" s="47">
        <f>G11+G19+G27+G35+G43</f>
        <v/>
      </c>
      <c r="H50" s="47">
        <f>H11+H19+H27+H35+H43</f>
        <v/>
      </c>
      <c r="I50" s="47">
        <f>I11+I19+I27+I35+I43</f>
        <v/>
      </c>
      <c r="J50" s="47">
        <f>J11+J19+J27+J35+J43</f>
        <v/>
      </c>
      <c r="K50" s="47">
        <f>K11+K19+K27+K35+K43</f>
        <v/>
      </c>
      <c r="L50" s="47">
        <f>L11+L19+L27+L35+L43</f>
        <v/>
      </c>
      <c r="M50" s="47">
        <f>M11+M19+M27+M35+M43</f>
        <v/>
      </c>
      <c r="N50" s="47">
        <f>N11+N19+N27+N35+N43</f>
        <v/>
      </c>
      <c r="O50" s="47">
        <f>O11+O19+O27+O35+O43</f>
        <v/>
      </c>
      <c r="P50" s="47">
        <f>P11+P19+P27+P35+P43</f>
        <v/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Q4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49" t="inlineStr">
        <is>
          <t>WORKFORCE — Headcount &amp; Labour Cost Model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On-Cost Parameters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On-Cost Rate (super, leave, workers comp, etc.)</t>
        </is>
      </c>
      <c r="B5" s="18" t="n">
        <v>0.3</v>
      </c>
    </row>
    <row r="7" ht="16" customHeight="1">
      <c r="A7" s="15" t="inlineStr">
        <is>
          <t>Workforce by Department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15" t="inlineStr">
        <is>
          <t>NETWORK OPERATIONS (field technicians &amp; operators)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</row>
    <row r="9">
      <c r="A9" s="17" t="inlineStr">
        <is>
          <t xml:space="preserve">  Headcount (FTE)</t>
        </is>
      </c>
      <c r="B9" s="23" t="n">
        <v>248</v>
      </c>
      <c r="C9" s="23" t="n">
        <v>251</v>
      </c>
      <c r="D9" s="23" t="n">
        <v>254</v>
      </c>
      <c r="E9" s="23" t="n">
        <v>257</v>
      </c>
      <c r="F9" s="23" t="n">
        <v>260</v>
      </c>
      <c r="G9" s="34" t="n">
        <v>263</v>
      </c>
      <c r="H9" s="34" t="n">
        <v>267</v>
      </c>
      <c r="I9" s="34" t="n">
        <v>270</v>
      </c>
      <c r="J9" s="34" t="n">
        <v>273</v>
      </c>
      <c r="K9" s="34" t="n">
        <v>277</v>
      </c>
      <c r="L9" s="34" t="n">
        <v>280</v>
      </c>
      <c r="M9" s="34" t="n">
        <v>283</v>
      </c>
      <c r="N9" s="34" t="n">
        <v>287</v>
      </c>
      <c r="O9" s="34" t="n">
        <v>290</v>
      </c>
      <c r="P9" s="34" t="n">
        <v>294</v>
      </c>
    </row>
    <row r="10">
      <c r="A10" s="17" t="inlineStr">
        <is>
          <t xml:space="preserve">  Avg. Salary ($/FTE, nominal $'000)</t>
        </is>
      </c>
      <c r="B10" s="23" t="n">
        <v>95</v>
      </c>
      <c r="C10" s="23" t="n">
        <v>97.40000000000001</v>
      </c>
      <c r="D10" s="23" t="n">
        <v>99.8</v>
      </c>
      <c r="E10" s="23" t="n">
        <v>102.3</v>
      </c>
      <c r="F10" s="23" t="n">
        <v>104.9</v>
      </c>
      <c r="G10" s="34" t="n">
        <v>107.5</v>
      </c>
      <c r="H10" s="34">
        <f>G10*(1+Assumptions!H15)</f>
        <v/>
      </c>
      <c r="I10" s="34">
        <f>H10*(1+Assumptions!I15)</f>
        <v/>
      </c>
      <c r="J10" s="34">
        <f>I10*(1+Assumptions!J15)</f>
        <v/>
      </c>
      <c r="K10" s="34">
        <f>J10*(1+Assumptions!K15)</f>
        <v/>
      </c>
      <c r="L10" s="34">
        <f>K10*(1+Assumptions!L15)</f>
        <v/>
      </c>
      <c r="M10" s="34">
        <f>L10*(1+Assumptions!M15)</f>
        <v/>
      </c>
      <c r="N10" s="34">
        <f>M10*(1+Assumptions!N15)</f>
        <v/>
      </c>
      <c r="O10" s="34">
        <f>N10*(1+Assumptions!O15)</f>
        <v/>
      </c>
      <c r="P10" s="34">
        <f>O10*(1+Assumptions!P15)</f>
        <v/>
      </c>
    </row>
    <row r="11">
      <c r="A11" s="17" t="inlineStr">
        <is>
          <t xml:space="preserve">  Salary Cost ($M)</t>
        </is>
      </c>
      <c r="B11" s="26">
        <f>B9*B10/1000</f>
        <v/>
      </c>
      <c r="C11" s="26">
        <f>C9*C10/1000</f>
        <v/>
      </c>
      <c r="D11" s="26">
        <f>D9*D10/1000</f>
        <v/>
      </c>
      <c r="E11" s="26">
        <f>E9*E10/1000</f>
        <v/>
      </c>
      <c r="F11" s="26">
        <f>F9*F10/1000</f>
        <v/>
      </c>
      <c r="G11" s="39">
        <f>G9*G10/1000</f>
        <v/>
      </c>
      <c r="H11" s="39">
        <f>H9*H10/1000</f>
        <v/>
      </c>
      <c r="I11" s="39">
        <f>I9*I10/1000</f>
        <v/>
      </c>
      <c r="J11" s="39">
        <f>J9*J10/1000</f>
        <v/>
      </c>
      <c r="K11" s="39">
        <f>K9*K10/1000</f>
        <v/>
      </c>
      <c r="L11" s="39">
        <f>L9*L10/1000</f>
        <v/>
      </c>
      <c r="M11" s="39">
        <f>M9*M10/1000</f>
        <v/>
      </c>
      <c r="N11" s="39">
        <f>N9*N10/1000</f>
        <v/>
      </c>
      <c r="O11" s="39">
        <f>O9*O10/1000</f>
        <v/>
      </c>
      <c r="P11" s="39">
        <f>P9*P10/1000</f>
        <v/>
      </c>
    </row>
    <row r="12">
      <c r="A12" s="17" t="inlineStr">
        <is>
          <t xml:space="preserve">  On-Costs ($M)</t>
        </is>
      </c>
      <c r="B12" s="26">
        <f>B11*$B$5</f>
        <v/>
      </c>
      <c r="C12" s="26">
        <f>C11*$B$5</f>
        <v/>
      </c>
      <c r="D12" s="26">
        <f>D11*$B$5</f>
        <v/>
      </c>
      <c r="E12" s="26">
        <f>E11*$B$5</f>
        <v/>
      </c>
      <c r="F12" s="26">
        <f>F11*$B$5</f>
        <v/>
      </c>
      <c r="G12" s="39">
        <f>G11*$B$5</f>
        <v/>
      </c>
      <c r="H12" s="39">
        <f>H11*$B$5</f>
        <v/>
      </c>
      <c r="I12" s="39">
        <f>I11*$B$5</f>
        <v/>
      </c>
      <c r="J12" s="39">
        <f>J11*$B$5</f>
        <v/>
      </c>
      <c r="K12" s="39">
        <f>K11*$B$5</f>
        <v/>
      </c>
      <c r="L12" s="39">
        <f>L11*$B$5</f>
        <v/>
      </c>
      <c r="M12" s="39">
        <f>M11*$B$5</f>
        <v/>
      </c>
      <c r="N12" s="39">
        <f>N11*$B$5</f>
        <v/>
      </c>
      <c r="O12" s="39">
        <f>O11*$B$5</f>
        <v/>
      </c>
      <c r="P12" s="39">
        <f>P11*$B$5</f>
        <v/>
      </c>
    </row>
    <row r="13">
      <c r="A13" s="17" t="inlineStr">
        <is>
          <t xml:space="preserve">  Total Labour Cost ($M)</t>
        </is>
      </c>
      <c r="B13" s="43">
        <f>B11+B12</f>
        <v/>
      </c>
      <c r="C13" s="43">
        <f>C11+C12</f>
        <v/>
      </c>
      <c r="D13" s="43">
        <f>D11+D12</f>
        <v/>
      </c>
      <c r="E13" s="43">
        <f>E11+E12</f>
        <v/>
      </c>
      <c r="F13" s="43">
        <f>F11+F12</f>
        <v/>
      </c>
      <c r="G13" s="47">
        <f>G11+G12</f>
        <v/>
      </c>
      <c r="H13" s="47">
        <f>H11+H12</f>
        <v/>
      </c>
      <c r="I13" s="47">
        <f>I11+I12</f>
        <v/>
      </c>
      <c r="J13" s="47">
        <f>J11+J12</f>
        <v/>
      </c>
      <c r="K13" s="47">
        <f>K11+K12</f>
        <v/>
      </c>
      <c r="L13" s="47">
        <f>L11+L12</f>
        <v/>
      </c>
      <c r="M13" s="47">
        <f>M11+M12</f>
        <v/>
      </c>
      <c r="N13" s="47">
        <f>N11+N12</f>
        <v/>
      </c>
      <c r="O13" s="47">
        <f>O11+O12</f>
        <v/>
      </c>
      <c r="P13" s="47">
        <f>P11+P12</f>
        <v/>
      </c>
    </row>
    <row r="15">
      <c r="A15" s="15" t="inlineStr">
        <is>
          <t>ENGINEERING &amp; PLANNING (asset, protection, planning)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</row>
    <row r="16">
      <c r="A16" s="17" t="inlineStr">
        <is>
          <t xml:space="preserve">  Headcount (FTE)</t>
        </is>
      </c>
      <c r="B16" s="23" t="n">
        <v>78</v>
      </c>
      <c r="C16" s="23" t="n">
        <v>79</v>
      </c>
      <c r="D16" s="23" t="n">
        <v>80</v>
      </c>
      <c r="E16" s="23" t="n">
        <v>81</v>
      </c>
      <c r="F16" s="23" t="n">
        <v>82</v>
      </c>
      <c r="G16" s="34" t="n">
        <v>83</v>
      </c>
      <c r="H16" s="34" t="n">
        <v>84</v>
      </c>
      <c r="I16" s="34" t="n">
        <v>86</v>
      </c>
      <c r="J16" s="34" t="n">
        <v>87</v>
      </c>
      <c r="K16" s="34" t="n">
        <v>89</v>
      </c>
      <c r="L16" s="34" t="n">
        <v>90</v>
      </c>
      <c r="M16" s="34" t="n">
        <v>92</v>
      </c>
      <c r="N16" s="34" t="n">
        <v>93</v>
      </c>
      <c r="O16" s="34" t="n">
        <v>95</v>
      </c>
      <c r="P16" s="34" t="n">
        <v>97</v>
      </c>
    </row>
    <row r="17">
      <c r="A17" s="17" t="inlineStr">
        <is>
          <t xml:space="preserve">  Avg. Salary ($/FTE, nominal $'000)</t>
        </is>
      </c>
      <c r="B17" s="23" t="n">
        <v>120</v>
      </c>
      <c r="C17" s="23" t="n">
        <v>123</v>
      </c>
      <c r="D17" s="23" t="n">
        <v>126.1</v>
      </c>
      <c r="E17" s="23" t="n">
        <v>129.2</v>
      </c>
      <c r="F17" s="23" t="n">
        <v>132.5</v>
      </c>
      <c r="G17" s="34" t="n">
        <v>135.8</v>
      </c>
      <c r="H17" s="34">
        <f>G17*(1+Assumptions!H15)</f>
        <v/>
      </c>
      <c r="I17" s="34">
        <f>H17*(1+Assumptions!I15)</f>
        <v/>
      </c>
      <c r="J17" s="34">
        <f>I17*(1+Assumptions!J15)</f>
        <v/>
      </c>
      <c r="K17" s="34">
        <f>J17*(1+Assumptions!K15)</f>
        <v/>
      </c>
      <c r="L17" s="34">
        <f>K17*(1+Assumptions!L15)</f>
        <v/>
      </c>
      <c r="M17" s="34">
        <f>L17*(1+Assumptions!M15)</f>
        <v/>
      </c>
      <c r="N17" s="34">
        <f>M17*(1+Assumptions!N15)</f>
        <v/>
      </c>
      <c r="O17" s="34">
        <f>N17*(1+Assumptions!O15)</f>
        <v/>
      </c>
      <c r="P17" s="34">
        <f>O17*(1+Assumptions!P15)</f>
        <v/>
      </c>
    </row>
    <row r="18">
      <c r="A18" s="17" t="inlineStr">
        <is>
          <t xml:space="preserve">  Salary Cost ($M)</t>
        </is>
      </c>
      <c r="B18" s="26">
        <f>B16*B17/1000</f>
        <v/>
      </c>
      <c r="C18" s="26">
        <f>C16*C17/1000</f>
        <v/>
      </c>
      <c r="D18" s="26">
        <f>D16*D17/1000</f>
        <v/>
      </c>
      <c r="E18" s="26">
        <f>E16*E17/1000</f>
        <v/>
      </c>
      <c r="F18" s="26">
        <f>F16*F17/1000</f>
        <v/>
      </c>
      <c r="G18" s="39">
        <f>G16*G17/1000</f>
        <v/>
      </c>
      <c r="H18" s="39">
        <f>H16*H17/1000</f>
        <v/>
      </c>
      <c r="I18" s="39">
        <f>I16*I17/1000</f>
        <v/>
      </c>
      <c r="J18" s="39">
        <f>J16*J17/1000</f>
        <v/>
      </c>
      <c r="K18" s="39">
        <f>K16*K17/1000</f>
        <v/>
      </c>
      <c r="L18" s="39">
        <f>L16*L17/1000</f>
        <v/>
      </c>
      <c r="M18" s="39">
        <f>M16*M17/1000</f>
        <v/>
      </c>
      <c r="N18" s="39">
        <f>N16*N17/1000</f>
        <v/>
      </c>
      <c r="O18" s="39">
        <f>O16*O17/1000</f>
        <v/>
      </c>
      <c r="P18" s="39">
        <f>P16*P17/1000</f>
        <v/>
      </c>
    </row>
    <row r="19">
      <c r="A19" s="17" t="inlineStr">
        <is>
          <t xml:space="preserve">  On-Costs ($M)</t>
        </is>
      </c>
      <c r="B19" s="26">
        <f>B18*$B$5</f>
        <v/>
      </c>
      <c r="C19" s="26">
        <f>C18*$B$5</f>
        <v/>
      </c>
      <c r="D19" s="26">
        <f>D18*$B$5</f>
        <v/>
      </c>
      <c r="E19" s="26">
        <f>E18*$B$5</f>
        <v/>
      </c>
      <c r="F19" s="26">
        <f>F18*$B$5</f>
        <v/>
      </c>
      <c r="G19" s="39">
        <f>G18*$B$5</f>
        <v/>
      </c>
      <c r="H19" s="39">
        <f>H18*$B$5</f>
        <v/>
      </c>
      <c r="I19" s="39">
        <f>I18*$B$5</f>
        <v/>
      </c>
      <c r="J19" s="39">
        <f>J18*$B$5</f>
        <v/>
      </c>
      <c r="K19" s="39">
        <f>K18*$B$5</f>
        <v/>
      </c>
      <c r="L19" s="39">
        <f>L18*$B$5</f>
        <v/>
      </c>
      <c r="M19" s="39">
        <f>M18*$B$5</f>
        <v/>
      </c>
      <c r="N19" s="39">
        <f>N18*$B$5</f>
        <v/>
      </c>
      <c r="O19" s="39">
        <f>O18*$B$5</f>
        <v/>
      </c>
      <c r="P19" s="39">
        <f>P18*$B$5</f>
        <v/>
      </c>
    </row>
    <row r="20">
      <c r="A20" s="17" t="inlineStr">
        <is>
          <t xml:space="preserve">  Total Labour Cost ($M)</t>
        </is>
      </c>
      <c r="B20" s="43">
        <f>B18+B19</f>
        <v/>
      </c>
      <c r="C20" s="43">
        <f>C18+C19</f>
        <v/>
      </c>
      <c r="D20" s="43">
        <f>D18+D19</f>
        <v/>
      </c>
      <c r="E20" s="43">
        <f>E18+E19</f>
        <v/>
      </c>
      <c r="F20" s="43">
        <f>F18+F19</f>
        <v/>
      </c>
      <c r="G20" s="47">
        <f>G18+G19</f>
        <v/>
      </c>
      <c r="H20" s="47">
        <f>H18+H19</f>
        <v/>
      </c>
      <c r="I20" s="47">
        <f>I18+I19</f>
        <v/>
      </c>
      <c r="J20" s="47">
        <f>J18+J19</f>
        <v/>
      </c>
      <c r="K20" s="47">
        <f>K18+K19</f>
        <v/>
      </c>
      <c r="L20" s="47">
        <f>L18+L19</f>
        <v/>
      </c>
      <c r="M20" s="47">
        <f>M18+M19</f>
        <v/>
      </c>
      <c r="N20" s="47">
        <f>N18+N19</f>
        <v/>
      </c>
      <c r="O20" s="47">
        <f>O18+O19</f>
        <v/>
      </c>
      <c r="P20" s="47">
        <f>P18+P19</f>
        <v/>
      </c>
    </row>
    <row r="22">
      <c r="A22" s="15" t="inlineStr">
        <is>
          <t>CORPORATE &amp; SHARED SERVICES (finance, HR, legal, comms)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>
      <c r="A23" s="17" t="inlineStr">
        <is>
          <t xml:space="preserve">  Headcount (FTE)</t>
        </is>
      </c>
      <c r="B23" s="23" t="n">
        <v>118</v>
      </c>
      <c r="C23" s="23" t="n">
        <v>119</v>
      </c>
      <c r="D23" s="23" t="n">
        <v>120</v>
      </c>
      <c r="E23" s="23" t="n">
        <v>121</v>
      </c>
      <c r="F23" s="23" t="n">
        <v>122</v>
      </c>
      <c r="G23" s="34" t="n">
        <v>123</v>
      </c>
      <c r="H23" s="34" t="n">
        <v>124</v>
      </c>
      <c r="I23" s="34" t="n">
        <v>125</v>
      </c>
      <c r="J23" s="34" t="n">
        <v>126</v>
      </c>
      <c r="K23" s="34" t="n">
        <v>127</v>
      </c>
      <c r="L23" s="34" t="n">
        <v>128</v>
      </c>
      <c r="M23" s="34" t="n">
        <v>129</v>
      </c>
      <c r="N23" s="34" t="n">
        <v>130</v>
      </c>
      <c r="O23" s="34" t="n">
        <v>131</v>
      </c>
      <c r="P23" s="34" t="n">
        <v>132</v>
      </c>
    </row>
    <row r="24">
      <c r="A24" s="17" t="inlineStr">
        <is>
          <t xml:space="preserve">  Avg. Salary ($/FTE, nominal $'000)</t>
        </is>
      </c>
      <c r="B24" s="23" t="n">
        <v>110</v>
      </c>
      <c r="C24" s="23" t="n">
        <v>112.7</v>
      </c>
      <c r="D24" s="23" t="n">
        <v>115.6</v>
      </c>
      <c r="E24" s="23" t="n">
        <v>118.5</v>
      </c>
      <c r="F24" s="23" t="n">
        <v>121.4</v>
      </c>
      <c r="G24" s="34" t="n">
        <v>124.5</v>
      </c>
      <c r="H24" s="34">
        <f>G24*(1+Assumptions!H15)</f>
        <v/>
      </c>
      <c r="I24" s="34">
        <f>H24*(1+Assumptions!I15)</f>
        <v/>
      </c>
      <c r="J24" s="34">
        <f>I24*(1+Assumptions!J15)</f>
        <v/>
      </c>
      <c r="K24" s="34">
        <f>J24*(1+Assumptions!K15)</f>
        <v/>
      </c>
      <c r="L24" s="34">
        <f>K24*(1+Assumptions!L15)</f>
        <v/>
      </c>
      <c r="M24" s="34">
        <f>L24*(1+Assumptions!M15)</f>
        <v/>
      </c>
      <c r="N24" s="34">
        <f>M24*(1+Assumptions!N15)</f>
        <v/>
      </c>
      <c r="O24" s="34">
        <f>N24*(1+Assumptions!O15)</f>
        <v/>
      </c>
      <c r="P24" s="34">
        <f>O24*(1+Assumptions!P15)</f>
        <v/>
      </c>
    </row>
    <row r="25">
      <c r="A25" s="17" t="inlineStr">
        <is>
          <t xml:space="preserve">  Salary Cost ($M)</t>
        </is>
      </c>
      <c r="B25" s="26">
        <f>B23*B24/1000</f>
        <v/>
      </c>
      <c r="C25" s="26">
        <f>C23*C24/1000</f>
        <v/>
      </c>
      <c r="D25" s="26">
        <f>D23*D24/1000</f>
        <v/>
      </c>
      <c r="E25" s="26">
        <f>E23*E24/1000</f>
        <v/>
      </c>
      <c r="F25" s="26">
        <f>F23*F24/1000</f>
        <v/>
      </c>
      <c r="G25" s="39">
        <f>G23*G24/1000</f>
        <v/>
      </c>
      <c r="H25" s="39">
        <f>H23*H24/1000</f>
        <v/>
      </c>
      <c r="I25" s="39">
        <f>I23*I24/1000</f>
        <v/>
      </c>
      <c r="J25" s="39">
        <f>J23*J24/1000</f>
        <v/>
      </c>
      <c r="K25" s="39">
        <f>K23*K24/1000</f>
        <v/>
      </c>
      <c r="L25" s="39">
        <f>L23*L24/1000</f>
        <v/>
      </c>
      <c r="M25" s="39">
        <f>M23*M24/1000</f>
        <v/>
      </c>
      <c r="N25" s="39">
        <f>N23*N24/1000</f>
        <v/>
      </c>
      <c r="O25" s="39">
        <f>O23*O24/1000</f>
        <v/>
      </c>
      <c r="P25" s="39">
        <f>P23*P24/1000</f>
        <v/>
      </c>
    </row>
    <row r="26">
      <c r="A26" s="17" t="inlineStr">
        <is>
          <t xml:space="preserve">  On-Costs ($M)</t>
        </is>
      </c>
      <c r="B26" s="26">
        <f>B25*$B$5</f>
        <v/>
      </c>
      <c r="C26" s="26">
        <f>C25*$B$5</f>
        <v/>
      </c>
      <c r="D26" s="26">
        <f>D25*$B$5</f>
        <v/>
      </c>
      <c r="E26" s="26">
        <f>E25*$B$5</f>
        <v/>
      </c>
      <c r="F26" s="26">
        <f>F25*$B$5</f>
        <v/>
      </c>
      <c r="G26" s="39">
        <f>G25*$B$5</f>
        <v/>
      </c>
      <c r="H26" s="39">
        <f>H25*$B$5</f>
        <v/>
      </c>
      <c r="I26" s="39">
        <f>I25*$B$5</f>
        <v/>
      </c>
      <c r="J26" s="39">
        <f>J25*$B$5</f>
        <v/>
      </c>
      <c r="K26" s="39">
        <f>K25*$B$5</f>
        <v/>
      </c>
      <c r="L26" s="39">
        <f>L25*$B$5</f>
        <v/>
      </c>
      <c r="M26" s="39">
        <f>M25*$B$5</f>
        <v/>
      </c>
      <c r="N26" s="39">
        <f>N25*$B$5</f>
        <v/>
      </c>
      <c r="O26" s="39">
        <f>O25*$B$5</f>
        <v/>
      </c>
      <c r="P26" s="39">
        <f>P25*$B$5</f>
        <v/>
      </c>
    </row>
    <row r="27">
      <c r="A27" s="17" t="inlineStr">
        <is>
          <t xml:space="preserve">  Total Labour Cost ($M)</t>
        </is>
      </c>
      <c r="B27" s="43">
        <f>B25+B26</f>
        <v/>
      </c>
      <c r="C27" s="43">
        <f>C25+C26</f>
        <v/>
      </c>
      <c r="D27" s="43">
        <f>D25+D26</f>
        <v/>
      </c>
      <c r="E27" s="43">
        <f>E25+E26</f>
        <v/>
      </c>
      <c r="F27" s="43">
        <f>F25+F26</f>
        <v/>
      </c>
      <c r="G27" s="47">
        <f>G25+G26</f>
        <v/>
      </c>
      <c r="H27" s="47">
        <f>H25+H26</f>
        <v/>
      </c>
      <c r="I27" s="47">
        <f>I25+I26</f>
        <v/>
      </c>
      <c r="J27" s="47">
        <f>J25+J26</f>
        <v/>
      </c>
      <c r="K27" s="47">
        <f>K25+K26</f>
        <v/>
      </c>
      <c r="L27" s="47">
        <f>L25+L26</f>
        <v/>
      </c>
      <c r="M27" s="47">
        <f>M25+M26</f>
        <v/>
      </c>
      <c r="N27" s="47">
        <f>N25+N26</f>
        <v/>
      </c>
      <c r="O27" s="47">
        <f>O25+O26</f>
        <v/>
      </c>
      <c r="P27" s="47">
        <f>P25+P26</f>
        <v/>
      </c>
    </row>
    <row r="29">
      <c r="A29" s="15" t="inlineStr">
        <is>
          <t>ICT &amp; DIGITAL (infrastructure, cybersecurity, data)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</row>
    <row r="30">
      <c r="A30" s="17" t="inlineStr">
        <is>
          <t xml:space="preserve">  Headcount (FTE)</t>
        </is>
      </c>
      <c r="B30" s="23" t="n">
        <v>42</v>
      </c>
      <c r="C30" s="23" t="n">
        <v>43</v>
      </c>
      <c r="D30" s="23" t="n">
        <v>44</v>
      </c>
      <c r="E30" s="23" t="n">
        <v>45</v>
      </c>
      <c r="F30" s="23" t="n">
        <v>46</v>
      </c>
      <c r="G30" s="34" t="n">
        <v>48</v>
      </c>
      <c r="H30" s="34" t="n">
        <v>50</v>
      </c>
      <c r="I30" s="34" t="n">
        <v>52</v>
      </c>
      <c r="J30" s="34" t="n">
        <v>54</v>
      </c>
      <c r="K30" s="34" t="n">
        <v>55</v>
      </c>
      <c r="L30" s="34" t="n">
        <v>57</v>
      </c>
      <c r="M30" s="34" t="n">
        <v>58</v>
      </c>
      <c r="N30" s="34" t="n">
        <v>59</v>
      </c>
      <c r="O30" s="34" t="n">
        <v>60</v>
      </c>
      <c r="P30" s="34" t="n">
        <v>61</v>
      </c>
    </row>
    <row r="31">
      <c r="A31" s="17" t="inlineStr">
        <is>
          <t xml:space="preserve">  Avg. Salary ($/FTE, nominal $'000)</t>
        </is>
      </c>
      <c r="B31" s="23" t="n">
        <v>115</v>
      </c>
      <c r="C31" s="23" t="n">
        <v>117.9</v>
      </c>
      <c r="D31" s="23" t="n">
        <v>120.8</v>
      </c>
      <c r="E31" s="23" t="n">
        <v>123.8</v>
      </c>
      <c r="F31" s="23" t="n">
        <v>126.9</v>
      </c>
      <c r="G31" s="34" t="n">
        <v>130.1</v>
      </c>
      <c r="H31" s="34">
        <f>G31*(1+Assumptions!H15)</f>
        <v/>
      </c>
      <c r="I31" s="34">
        <f>H31*(1+Assumptions!I15)</f>
        <v/>
      </c>
      <c r="J31" s="34">
        <f>I31*(1+Assumptions!J15)</f>
        <v/>
      </c>
      <c r="K31" s="34">
        <f>J31*(1+Assumptions!K15)</f>
        <v/>
      </c>
      <c r="L31" s="34">
        <f>K31*(1+Assumptions!L15)</f>
        <v/>
      </c>
      <c r="M31" s="34">
        <f>L31*(1+Assumptions!M15)</f>
        <v/>
      </c>
      <c r="N31" s="34">
        <f>M31*(1+Assumptions!N15)</f>
        <v/>
      </c>
      <c r="O31" s="34">
        <f>N31*(1+Assumptions!O15)</f>
        <v/>
      </c>
      <c r="P31" s="34">
        <f>O31*(1+Assumptions!P15)</f>
        <v/>
      </c>
    </row>
    <row r="32">
      <c r="A32" s="17" t="inlineStr">
        <is>
          <t xml:space="preserve">  Salary Cost ($M)</t>
        </is>
      </c>
      <c r="B32" s="26">
        <f>B30*B31/1000</f>
        <v/>
      </c>
      <c r="C32" s="26">
        <f>C30*C31/1000</f>
        <v/>
      </c>
      <c r="D32" s="26">
        <f>D30*D31/1000</f>
        <v/>
      </c>
      <c r="E32" s="26">
        <f>E30*E31/1000</f>
        <v/>
      </c>
      <c r="F32" s="26">
        <f>F30*F31/1000</f>
        <v/>
      </c>
      <c r="G32" s="39">
        <f>G30*G31/1000</f>
        <v/>
      </c>
      <c r="H32" s="39">
        <f>H30*H31/1000</f>
        <v/>
      </c>
      <c r="I32" s="39">
        <f>I30*I31/1000</f>
        <v/>
      </c>
      <c r="J32" s="39">
        <f>J30*J31/1000</f>
        <v/>
      </c>
      <c r="K32" s="39">
        <f>K30*K31/1000</f>
        <v/>
      </c>
      <c r="L32" s="39">
        <f>L30*L31/1000</f>
        <v/>
      </c>
      <c r="M32" s="39">
        <f>M30*M31/1000</f>
        <v/>
      </c>
      <c r="N32" s="39">
        <f>N30*N31/1000</f>
        <v/>
      </c>
      <c r="O32" s="39">
        <f>O30*O31/1000</f>
        <v/>
      </c>
      <c r="P32" s="39">
        <f>P30*P31/1000</f>
        <v/>
      </c>
    </row>
    <row r="33">
      <c r="A33" s="17" t="inlineStr">
        <is>
          <t xml:space="preserve">  On-Costs ($M)</t>
        </is>
      </c>
      <c r="B33" s="26">
        <f>B32*$B$5</f>
        <v/>
      </c>
      <c r="C33" s="26">
        <f>C32*$B$5</f>
        <v/>
      </c>
      <c r="D33" s="26">
        <f>D32*$B$5</f>
        <v/>
      </c>
      <c r="E33" s="26">
        <f>E32*$B$5</f>
        <v/>
      </c>
      <c r="F33" s="26">
        <f>F32*$B$5</f>
        <v/>
      </c>
      <c r="G33" s="39">
        <f>G32*$B$5</f>
        <v/>
      </c>
      <c r="H33" s="39">
        <f>H32*$B$5</f>
        <v/>
      </c>
      <c r="I33" s="39">
        <f>I32*$B$5</f>
        <v/>
      </c>
      <c r="J33" s="39">
        <f>J32*$B$5</f>
        <v/>
      </c>
      <c r="K33" s="39">
        <f>K32*$B$5</f>
        <v/>
      </c>
      <c r="L33" s="39">
        <f>L32*$B$5</f>
        <v/>
      </c>
      <c r="M33" s="39">
        <f>M32*$B$5</f>
        <v/>
      </c>
      <c r="N33" s="39">
        <f>N32*$B$5</f>
        <v/>
      </c>
      <c r="O33" s="39">
        <f>O32*$B$5</f>
        <v/>
      </c>
      <c r="P33" s="39">
        <f>P32*$B$5</f>
        <v/>
      </c>
    </row>
    <row r="34">
      <c r="A34" s="17" t="inlineStr">
        <is>
          <t xml:space="preserve">  Total Labour Cost ($M)</t>
        </is>
      </c>
      <c r="B34" s="43">
        <f>B32+B33</f>
        <v/>
      </c>
      <c r="C34" s="43">
        <f>C32+C33</f>
        <v/>
      </c>
      <c r="D34" s="43">
        <f>D32+D33</f>
        <v/>
      </c>
      <c r="E34" s="43">
        <f>E32+E33</f>
        <v/>
      </c>
      <c r="F34" s="43">
        <f>F32+F33</f>
        <v/>
      </c>
      <c r="G34" s="47">
        <f>G32+G33</f>
        <v/>
      </c>
      <c r="H34" s="47">
        <f>H32+H33</f>
        <v/>
      </c>
      <c r="I34" s="47">
        <f>I32+I33</f>
        <v/>
      </c>
      <c r="J34" s="47">
        <f>J32+J33</f>
        <v/>
      </c>
      <c r="K34" s="47">
        <f>K32+K33</f>
        <v/>
      </c>
      <c r="L34" s="47">
        <f>L32+L33</f>
        <v/>
      </c>
      <c r="M34" s="47">
        <f>M32+M33</f>
        <v/>
      </c>
      <c r="N34" s="47">
        <f>N32+N33</f>
        <v/>
      </c>
      <c r="O34" s="47">
        <f>O32+O33</f>
        <v/>
      </c>
      <c r="P34" s="47">
        <f>P32+P33</f>
        <v/>
      </c>
    </row>
    <row r="36">
      <c r="A36" s="15" t="inlineStr">
        <is>
          <t>EXECUTIVE &amp; MANAGEMENT (C-suite, directors, managers)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</row>
    <row r="37">
      <c r="A37" s="17" t="inlineStr">
        <is>
          <t xml:space="preserve">  Headcount (FTE)</t>
        </is>
      </c>
      <c r="B37" s="23" t="n">
        <v>25</v>
      </c>
      <c r="C37" s="23" t="n">
        <v>25</v>
      </c>
      <c r="D37" s="23" t="n">
        <v>25</v>
      </c>
      <c r="E37" s="23" t="n">
        <v>25</v>
      </c>
      <c r="F37" s="23" t="n">
        <v>25</v>
      </c>
      <c r="G37" s="34" t="n">
        <v>25</v>
      </c>
      <c r="H37" s="34" t="n">
        <v>25</v>
      </c>
      <c r="I37" s="34" t="n">
        <v>25</v>
      </c>
      <c r="J37" s="34" t="n">
        <v>25</v>
      </c>
      <c r="K37" s="34" t="n">
        <v>25</v>
      </c>
      <c r="L37" s="34" t="n">
        <v>25</v>
      </c>
      <c r="M37" s="34" t="n">
        <v>25</v>
      </c>
      <c r="N37" s="34" t="n">
        <v>26</v>
      </c>
      <c r="O37" s="34" t="n">
        <v>26</v>
      </c>
      <c r="P37" s="34" t="n">
        <v>26</v>
      </c>
    </row>
    <row r="38">
      <c r="A38" s="17" t="inlineStr">
        <is>
          <t xml:space="preserve">  Avg. Salary ($/FTE, nominal $'000)</t>
        </is>
      </c>
      <c r="B38" s="23" t="n">
        <v>250</v>
      </c>
      <c r="C38" s="23" t="n">
        <v>256.2</v>
      </c>
      <c r="D38" s="23" t="n">
        <v>262.7</v>
      </c>
      <c r="E38" s="23" t="n">
        <v>269.2</v>
      </c>
      <c r="F38" s="23" t="n">
        <v>276</v>
      </c>
      <c r="G38" s="34" t="n">
        <v>282.9</v>
      </c>
      <c r="H38" s="34">
        <f>G38*(1+Assumptions!H15)</f>
        <v/>
      </c>
      <c r="I38" s="34">
        <f>H38*(1+Assumptions!I15)</f>
        <v/>
      </c>
      <c r="J38" s="34">
        <f>I38*(1+Assumptions!J15)</f>
        <v/>
      </c>
      <c r="K38" s="34">
        <f>J38*(1+Assumptions!K15)</f>
        <v/>
      </c>
      <c r="L38" s="34">
        <f>K38*(1+Assumptions!L15)</f>
        <v/>
      </c>
      <c r="M38" s="34">
        <f>L38*(1+Assumptions!M15)</f>
        <v/>
      </c>
      <c r="N38" s="34">
        <f>M38*(1+Assumptions!N15)</f>
        <v/>
      </c>
      <c r="O38" s="34">
        <f>N38*(1+Assumptions!O15)</f>
        <v/>
      </c>
      <c r="P38" s="34">
        <f>O38*(1+Assumptions!P15)</f>
        <v/>
      </c>
    </row>
    <row r="39">
      <c r="A39" s="17" t="inlineStr">
        <is>
          <t xml:space="preserve">  Salary Cost ($M)</t>
        </is>
      </c>
      <c r="B39" s="26">
        <f>B37*B38/1000</f>
        <v/>
      </c>
      <c r="C39" s="26">
        <f>C37*C38/1000</f>
        <v/>
      </c>
      <c r="D39" s="26">
        <f>D37*D38/1000</f>
        <v/>
      </c>
      <c r="E39" s="26">
        <f>E37*E38/1000</f>
        <v/>
      </c>
      <c r="F39" s="26">
        <f>F37*F38/1000</f>
        <v/>
      </c>
      <c r="G39" s="39">
        <f>G37*G38/1000</f>
        <v/>
      </c>
      <c r="H39" s="39">
        <f>H37*H38/1000</f>
        <v/>
      </c>
      <c r="I39" s="39">
        <f>I37*I38/1000</f>
        <v/>
      </c>
      <c r="J39" s="39">
        <f>J37*J38/1000</f>
        <v/>
      </c>
      <c r="K39" s="39">
        <f>K37*K38/1000</f>
        <v/>
      </c>
      <c r="L39" s="39">
        <f>L37*L38/1000</f>
        <v/>
      </c>
      <c r="M39" s="39">
        <f>M37*M38/1000</f>
        <v/>
      </c>
      <c r="N39" s="39">
        <f>N37*N38/1000</f>
        <v/>
      </c>
      <c r="O39" s="39">
        <f>O37*O38/1000</f>
        <v/>
      </c>
      <c r="P39" s="39">
        <f>P37*P38/1000</f>
        <v/>
      </c>
    </row>
    <row r="40">
      <c r="A40" s="17" t="inlineStr">
        <is>
          <t xml:space="preserve">  On-Costs ($M)</t>
        </is>
      </c>
      <c r="B40" s="26">
        <f>B39*$B$5</f>
        <v/>
      </c>
      <c r="C40" s="26">
        <f>C39*$B$5</f>
        <v/>
      </c>
      <c r="D40" s="26">
        <f>D39*$B$5</f>
        <v/>
      </c>
      <c r="E40" s="26">
        <f>E39*$B$5</f>
        <v/>
      </c>
      <c r="F40" s="26">
        <f>F39*$B$5</f>
        <v/>
      </c>
      <c r="G40" s="39">
        <f>G39*$B$5</f>
        <v/>
      </c>
      <c r="H40" s="39">
        <f>H39*$B$5</f>
        <v/>
      </c>
      <c r="I40" s="39">
        <f>I39*$B$5</f>
        <v/>
      </c>
      <c r="J40" s="39">
        <f>J39*$B$5</f>
        <v/>
      </c>
      <c r="K40" s="39">
        <f>K39*$B$5</f>
        <v/>
      </c>
      <c r="L40" s="39">
        <f>L39*$B$5</f>
        <v/>
      </c>
      <c r="M40" s="39">
        <f>M39*$B$5</f>
        <v/>
      </c>
      <c r="N40" s="39">
        <f>N39*$B$5</f>
        <v/>
      </c>
      <c r="O40" s="39">
        <f>O39*$B$5</f>
        <v/>
      </c>
      <c r="P40" s="39">
        <f>P39*$B$5</f>
        <v/>
      </c>
    </row>
    <row r="41">
      <c r="A41" s="17" t="inlineStr">
        <is>
          <t xml:space="preserve">  Total Labour Cost ($M)</t>
        </is>
      </c>
      <c r="B41" s="43">
        <f>B39+B40</f>
        <v/>
      </c>
      <c r="C41" s="43">
        <f>C39+C40</f>
        <v/>
      </c>
      <c r="D41" s="43">
        <f>D39+D40</f>
        <v/>
      </c>
      <c r="E41" s="43">
        <f>E39+E40</f>
        <v/>
      </c>
      <c r="F41" s="43">
        <f>F39+F40</f>
        <v/>
      </c>
      <c r="G41" s="47">
        <f>G39+G40</f>
        <v/>
      </c>
      <c r="H41" s="47">
        <f>H39+H40</f>
        <v/>
      </c>
      <c r="I41" s="47">
        <f>I39+I40</f>
        <v/>
      </c>
      <c r="J41" s="47">
        <f>J39+J40</f>
        <v/>
      </c>
      <c r="K41" s="47">
        <f>K39+K40</f>
        <v/>
      </c>
      <c r="L41" s="47">
        <f>L39+L40</f>
        <v/>
      </c>
      <c r="M41" s="47">
        <f>M39+M40</f>
        <v/>
      </c>
      <c r="N41" s="47">
        <f>N39+N40</f>
        <v/>
      </c>
      <c r="O41" s="47">
        <f>O39+O40</f>
        <v/>
      </c>
      <c r="P41" s="47">
        <f>P39+P40</f>
        <v/>
      </c>
    </row>
    <row r="44" ht="16" customHeight="1">
      <c r="A44" s="15" t="inlineStr">
        <is>
          <t>TOTAL WORKFORCE SUMMARY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>
      <c r="A45" s="17" t="inlineStr">
        <is>
          <t xml:space="preserve">  Total Headcount (FTE)</t>
        </is>
      </c>
      <c r="B45" s="50">
        <f>B9+B16+B23+B30+B37</f>
        <v/>
      </c>
      <c r="C45" s="50">
        <f>C9+C16+C23+C30+C37</f>
        <v/>
      </c>
      <c r="D45" s="50">
        <f>D9+D16+D23+D30+D37</f>
        <v/>
      </c>
      <c r="E45" s="50">
        <f>E9+E16+E23+E30+E37</f>
        <v/>
      </c>
      <c r="F45" s="50">
        <f>F9+F16+F23+F30+F37</f>
        <v/>
      </c>
      <c r="G45" s="51">
        <f>G9+G16+G23+G30+G37</f>
        <v/>
      </c>
      <c r="H45" s="51">
        <f>H9+H16+H23+H30+H37</f>
        <v/>
      </c>
      <c r="I45" s="51">
        <f>I9+I16+I23+I30+I37</f>
        <v/>
      </c>
      <c r="J45" s="51">
        <f>J9+J16+J23+J30+J37</f>
        <v/>
      </c>
      <c r="K45" s="51">
        <f>K9+K16+K23+K30+K37</f>
        <v/>
      </c>
      <c r="L45" s="51">
        <f>L9+L16+L23+L30+L37</f>
        <v/>
      </c>
      <c r="M45" s="51">
        <f>M9+M16+M23+M30+M37</f>
        <v/>
      </c>
      <c r="N45" s="51">
        <f>N9+N16+N23+N30+N37</f>
        <v/>
      </c>
      <c r="O45" s="51">
        <f>O9+O16+O23+O30+O37</f>
        <v/>
      </c>
      <c r="P45" s="51">
        <f>P9+P16+P23+P30+P37</f>
        <v/>
      </c>
    </row>
    <row r="46">
      <c r="A46" s="17" t="inlineStr">
        <is>
          <t xml:space="preserve">  Total Labour Cost ($M)</t>
        </is>
      </c>
      <c r="B46" s="44">
        <f>B13+B20+B27+B34+B41</f>
        <v/>
      </c>
      <c r="C46" s="44">
        <f>C13+C20+C27+C34+C41</f>
        <v/>
      </c>
      <c r="D46" s="44">
        <f>D13+D20+D27+D34+D41</f>
        <v/>
      </c>
      <c r="E46" s="44">
        <f>E13+E20+E27+E34+E41</f>
        <v/>
      </c>
      <c r="F46" s="44">
        <f>F13+F20+F27+F34+F41</f>
        <v/>
      </c>
      <c r="G46" s="44">
        <f>G13+G20+G27+G34+G41</f>
        <v/>
      </c>
      <c r="H46" s="44">
        <f>H13+H20+H27+H34+H41</f>
        <v/>
      </c>
      <c r="I46" s="44">
        <f>I13+I20+I27+I34+I41</f>
        <v/>
      </c>
      <c r="J46" s="44">
        <f>J13+J20+J27+J34+J41</f>
        <v/>
      </c>
      <c r="K46" s="44">
        <f>K13+K20+K27+K34+K41</f>
        <v/>
      </c>
      <c r="L46" s="44">
        <f>L13+L20+L27+L34+L41</f>
        <v/>
      </c>
      <c r="M46" s="44">
        <f>M13+M20+M27+M34+M41</f>
        <v/>
      </c>
      <c r="N46" s="44">
        <f>N13+N20+N27+N34+N41</f>
        <v/>
      </c>
      <c r="O46" s="44">
        <f>O13+O20+O27+O34+O41</f>
        <v/>
      </c>
      <c r="P46" s="44">
        <f>P13+P20+P27+P34+P41</f>
        <v/>
      </c>
    </row>
    <row r="47">
      <c r="A47" s="17" t="inlineStr">
        <is>
          <t xml:space="preserve">  → Network Ops Cost (feeds O&amp;M line)</t>
        </is>
      </c>
      <c r="B47" s="26">
        <f>B13</f>
        <v/>
      </c>
      <c r="C47" s="26">
        <f>C13</f>
        <v/>
      </c>
      <c r="D47" s="26">
        <f>D13</f>
        <v/>
      </c>
      <c r="E47" s="26">
        <f>E13</f>
        <v/>
      </c>
      <c r="F47" s="26">
        <f>F13</f>
        <v/>
      </c>
      <c r="G47" s="39">
        <f>G13</f>
        <v/>
      </c>
      <c r="H47" s="39">
        <f>H13</f>
        <v/>
      </c>
      <c r="I47" s="39">
        <f>I13</f>
        <v/>
      </c>
      <c r="J47" s="39">
        <f>J13</f>
        <v/>
      </c>
      <c r="K47" s="39">
        <f>K13</f>
        <v/>
      </c>
      <c r="L47" s="39">
        <f>L13</f>
        <v/>
      </c>
      <c r="M47" s="39">
        <f>M13</f>
        <v/>
      </c>
      <c r="N47" s="39">
        <f>N13</f>
        <v/>
      </c>
      <c r="O47" s="39">
        <f>O13</f>
        <v/>
      </c>
      <c r="P47" s="39">
        <f>P13</f>
        <v/>
      </c>
    </row>
    <row r="48">
      <c r="A48" s="17" t="inlineStr">
        <is>
          <t xml:space="preserve">  → Support Functions Cost (feeds Corporate line)</t>
        </is>
      </c>
      <c r="B48" s="26">
        <f>B20+B27+B34+B41</f>
        <v/>
      </c>
      <c r="C48" s="26">
        <f>C20+C27+C34+C41</f>
        <v/>
      </c>
      <c r="D48" s="26">
        <f>D20+D27+D34+D41</f>
        <v/>
      </c>
      <c r="E48" s="26">
        <f>E20+E27+E34+E41</f>
        <v/>
      </c>
      <c r="F48" s="26">
        <f>F20+F27+F34+F41</f>
        <v/>
      </c>
      <c r="G48" s="39">
        <f>G20+G27+G34+G41</f>
        <v/>
      </c>
      <c r="H48" s="39">
        <f>H20+H27+H34+H41</f>
        <v/>
      </c>
      <c r="I48" s="39">
        <f>I20+I27+I34+I41</f>
        <v/>
      </c>
      <c r="J48" s="39">
        <f>J20+J27+J34+J41</f>
        <v/>
      </c>
      <c r="K48" s="39">
        <f>K20+K27+K34+K41</f>
        <v/>
      </c>
      <c r="L48" s="39">
        <f>L20+L27+L34+L41</f>
        <v/>
      </c>
      <c r="M48" s="39">
        <f>M20+M27+M34+M41</f>
        <v/>
      </c>
      <c r="N48" s="39">
        <f>N20+N27+N34+N41</f>
        <v/>
      </c>
      <c r="O48" s="39">
        <f>O20+O27+O34+O41</f>
        <v/>
      </c>
      <c r="P48" s="39">
        <f>P20+P27+P34+P41</f>
        <v/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Q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52" t="inlineStr">
        <is>
          <t>MAINTENANCE — Asset Maintenance Cost Schedule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PLANNED / PREVENTIVE MAINTENANCE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Transmission Lines</t>
        </is>
      </c>
      <c r="B5" s="26" t="n">
        <v>24</v>
      </c>
      <c r="C5" s="26" t="n">
        <v>24.4</v>
      </c>
      <c r="D5" s="26" t="n">
        <v>24.8</v>
      </c>
      <c r="E5" s="26" t="n">
        <v>25.6</v>
      </c>
      <c r="F5" s="26" t="n">
        <v>27.1</v>
      </c>
      <c r="G5" s="39">
        <f>27.1*(1+Assumptions!G15)</f>
        <v/>
      </c>
      <c r="H5" s="39">
        <f>G5*(1+Assumptions!H15)</f>
        <v/>
      </c>
      <c r="I5" s="39">
        <f>H5*(1+Assumptions!I15)</f>
        <v/>
      </c>
      <c r="J5" s="39">
        <f>I5*(1+Assumptions!J15)</f>
        <v/>
      </c>
      <c r="K5" s="39">
        <f>J5*(1+Assumptions!K15)</f>
        <v/>
      </c>
      <c r="L5" s="39">
        <f>K5*(1+Assumptions!L15)</f>
        <v/>
      </c>
      <c r="M5" s="39">
        <f>L5*(1+Assumptions!M15)</f>
        <v/>
      </c>
      <c r="N5" s="39">
        <f>M5*(1+Assumptions!N15)</f>
        <v/>
      </c>
      <c r="O5" s="39">
        <f>N5*(1+Assumptions!O15)</f>
        <v/>
      </c>
      <c r="P5" s="39">
        <f>O5*(1+Assumptions!P15)</f>
        <v/>
      </c>
    </row>
    <row r="6">
      <c r="A6" s="17" t="inlineStr">
        <is>
          <t xml:space="preserve">  Substations</t>
        </is>
      </c>
      <c r="B6" s="26" t="n">
        <v>18</v>
      </c>
      <c r="C6" s="26" t="n">
        <v>18.3</v>
      </c>
      <c r="D6" s="26" t="n">
        <v>18.6</v>
      </c>
      <c r="E6" s="26" t="n">
        <v>19.2</v>
      </c>
      <c r="F6" s="26" t="n">
        <v>20.3</v>
      </c>
      <c r="G6" s="39">
        <f>20.3*(1+Assumptions!G15)</f>
        <v/>
      </c>
      <c r="H6" s="39">
        <f>G6*(1+Assumptions!H15)</f>
        <v/>
      </c>
      <c r="I6" s="39">
        <f>H6*(1+Assumptions!I15)</f>
        <v/>
      </c>
      <c r="J6" s="39">
        <f>I6*(1+Assumptions!J15)</f>
        <v/>
      </c>
      <c r="K6" s="39">
        <f>J6*(1+Assumptions!K15)</f>
        <v/>
      </c>
      <c r="L6" s="39">
        <f>K6*(1+Assumptions!L15)</f>
        <v/>
      </c>
      <c r="M6" s="39">
        <f>L6*(1+Assumptions!M15)</f>
        <v/>
      </c>
      <c r="N6" s="39">
        <f>M6*(1+Assumptions!N15)</f>
        <v/>
      </c>
      <c r="O6" s="39">
        <f>N6*(1+Assumptions!O15)</f>
        <v/>
      </c>
      <c r="P6" s="39">
        <f>O6*(1+Assumptions!P15)</f>
        <v/>
      </c>
    </row>
    <row r="7">
      <c r="A7" s="17" t="inlineStr">
        <is>
          <t xml:space="preserve">  Transformers</t>
        </is>
      </c>
      <c r="B7" s="26" t="n">
        <v>12</v>
      </c>
      <c r="C7" s="26" t="n">
        <v>12.2</v>
      </c>
      <c r="D7" s="26" t="n">
        <v>12.4</v>
      </c>
      <c r="E7" s="26" t="n">
        <v>12.8</v>
      </c>
      <c r="F7" s="26" t="n">
        <v>13.5</v>
      </c>
      <c r="G7" s="39">
        <f>13.5*(1+Assumptions!G15)</f>
        <v/>
      </c>
      <c r="H7" s="39">
        <f>G7*(1+Assumptions!H15)</f>
        <v/>
      </c>
      <c r="I7" s="39">
        <f>H7*(1+Assumptions!I15)</f>
        <v/>
      </c>
      <c r="J7" s="39">
        <f>I7*(1+Assumptions!J15)</f>
        <v/>
      </c>
      <c r="K7" s="39">
        <f>J7*(1+Assumptions!K15)</f>
        <v/>
      </c>
      <c r="L7" s="39">
        <f>K7*(1+Assumptions!L15)</f>
        <v/>
      </c>
      <c r="M7" s="39">
        <f>L7*(1+Assumptions!M15)</f>
        <v/>
      </c>
      <c r="N7" s="39">
        <f>M7*(1+Assumptions!N15)</f>
        <v/>
      </c>
      <c r="O7" s="39">
        <f>N7*(1+Assumptions!O15)</f>
        <v/>
      </c>
      <c r="P7" s="39">
        <f>O7*(1+Assumptions!P15)</f>
        <v/>
      </c>
    </row>
    <row r="8">
      <c r="A8" s="17" t="inlineStr">
        <is>
          <t xml:space="preserve">  SCADA &amp; Control</t>
        </is>
      </c>
      <c r="B8" s="26" t="n">
        <v>8</v>
      </c>
      <c r="C8" s="26" t="n">
        <v>8.1</v>
      </c>
      <c r="D8" s="26" t="n">
        <v>8.300000000000001</v>
      </c>
      <c r="E8" s="26" t="n">
        <v>8.5</v>
      </c>
      <c r="F8" s="26" t="n">
        <v>9</v>
      </c>
      <c r="G8" s="39">
        <f>9.0*(1+Assumptions!G15)</f>
        <v/>
      </c>
      <c r="H8" s="39">
        <f>G8*(1+Assumptions!H15)</f>
        <v/>
      </c>
      <c r="I8" s="39">
        <f>H8*(1+Assumptions!I15)</f>
        <v/>
      </c>
      <c r="J8" s="39">
        <f>I8*(1+Assumptions!J15)</f>
        <v/>
      </c>
      <c r="K8" s="39">
        <f>J8*(1+Assumptions!K15)</f>
        <v/>
      </c>
      <c r="L8" s="39">
        <f>K8*(1+Assumptions!L15)</f>
        <v/>
      </c>
      <c r="M8" s="39">
        <f>L8*(1+Assumptions!M15)</f>
        <v/>
      </c>
      <c r="N8" s="39">
        <f>M8*(1+Assumptions!N15)</f>
        <v/>
      </c>
      <c r="O8" s="39">
        <f>N8*(1+Assumptions!O15)</f>
        <v/>
      </c>
      <c r="P8" s="39">
        <f>O8*(1+Assumptions!P15)</f>
        <v/>
      </c>
    </row>
    <row r="9">
      <c r="A9" s="17" t="inlineStr">
        <is>
          <t xml:space="preserve">  Other Equipment</t>
        </is>
      </c>
      <c r="B9" s="26" t="n">
        <v>4.5</v>
      </c>
      <c r="C9" s="26" t="n">
        <v>4.6</v>
      </c>
      <c r="D9" s="26" t="n">
        <v>4.7</v>
      </c>
      <c r="E9" s="26" t="n">
        <v>4.8</v>
      </c>
      <c r="F9" s="26" t="n">
        <v>5.1</v>
      </c>
      <c r="G9" s="39">
        <f>5.1*(1+Assumptions!G15)</f>
        <v/>
      </c>
      <c r="H9" s="39">
        <f>G9*(1+Assumptions!H15)</f>
        <v/>
      </c>
      <c r="I9" s="39">
        <f>H9*(1+Assumptions!I15)</f>
        <v/>
      </c>
      <c r="J9" s="39">
        <f>I9*(1+Assumptions!J15)</f>
        <v/>
      </c>
      <c r="K9" s="39">
        <f>J9*(1+Assumptions!K15)</f>
        <v/>
      </c>
      <c r="L9" s="39">
        <f>K9*(1+Assumptions!L15)</f>
        <v/>
      </c>
      <c r="M9" s="39">
        <f>L9*(1+Assumptions!M15)</f>
        <v/>
      </c>
      <c r="N9" s="39">
        <f>M9*(1+Assumptions!N15)</f>
        <v/>
      </c>
      <c r="O9" s="39">
        <f>N9*(1+Assumptions!O15)</f>
        <v/>
      </c>
      <c r="P9" s="39">
        <f>O9*(1+Assumptions!P15)</f>
        <v/>
      </c>
    </row>
    <row r="10">
      <c r="A10" s="17" t="inlineStr">
        <is>
          <t xml:space="preserve">  Total Planned Maintenance</t>
        </is>
      </c>
      <c r="B10" s="46">
        <f>B5+B6+B7+B8+B9</f>
        <v/>
      </c>
      <c r="C10" s="46">
        <f>C5+C6+C7+C8+C9</f>
        <v/>
      </c>
      <c r="D10" s="46">
        <f>D5+D6+D7+D8+D9</f>
        <v/>
      </c>
      <c r="E10" s="46">
        <f>E5+E6+E7+E8+E9</f>
        <v/>
      </c>
      <c r="F10" s="46">
        <f>F5+F6+F7+F8+F9</f>
        <v/>
      </c>
      <c r="G10" s="46">
        <f>G5+G6+G7+G8+G9</f>
        <v/>
      </c>
      <c r="H10" s="46">
        <f>H5+H6+H7+H8+H9</f>
        <v/>
      </c>
      <c r="I10" s="46">
        <f>I5+I6+I7+I8+I9</f>
        <v/>
      </c>
      <c r="J10" s="46">
        <f>J5+J6+J7+J8+J9</f>
        <v/>
      </c>
      <c r="K10" s="46">
        <f>K5+K6+K7+K8+K9</f>
        <v/>
      </c>
      <c r="L10" s="46">
        <f>L5+L6+L7+L8+L9</f>
        <v/>
      </c>
      <c r="M10" s="46">
        <f>M5+M6+M7+M8+M9</f>
        <v/>
      </c>
      <c r="N10" s="46">
        <f>N5+N6+N7+N8+N9</f>
        <v/>
      </c>
      <c r="O10" s="46">
        <f>O5+O6+O7+O8+O9</f>
        <v/>
      </c>
      <c r="P10" s="46">
        <f>P5+P6+P7+P8+P9</f>
        <v/>
      </c>
    </row>
    <row r="12" ht="16" customHeight="1">
      <c r="A12" s="15" t="inlineStr">
        <is>
          <t>CORRECTIVE / EMERGENCY MAINTENANCE ($M)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17" t="inlineStr">
        <is>
          <t xml:space="preserve">  Corrective Rate (% of planned)</t>
        </is>
      </c>
      <c r="B13" s="18" t="n">
        <v>0.15</v>
      </c>
    </row>
    <row r="14">
      <c r="A14" s="17" t="inlineStr">
        <is>
          <t xml:space="preserve">  Total Corrective Maintenance</t>
        </is>
      </c>
      <c r="B14" s="26">
        <f>B10*$B$13</f>
        <v/>
      </c>
      <c r="C14" s="26">
        <f>C10*$B$13</f>
        <v/>
      </c>
      <c r="D14" s="26">
        <f>D10*$B$13</f>
        <v/>
      </c>
      <c r="E14" s="26">
        <f>E10*$B$13</f>
        <v/>
      </c>
      <c r="F14" s="26">
        <f>F10*$B$13</f>
        <v/>
      </c>
      <c r="G14" s="39">
        <f>G10*$B$13</f>
        <v/>
      </c>
      <c r="H14" s="39">
        <f>H10*$B$13</f>
        <v/>
      </c>
      <c r="I14" s="39">
        <f>I10*$B$13</f>
        <v/>
      </c>
      <c r="J14" s="39">
        <f>J10*$B$13</f>
        <v/>
      </c>
      <c r="K14" s="39">
        <f>K10*$B$13</f>
        <v/>
      </c>
      <c r="L14" s="39">
        <f>L10*$B$13</f>
        <v/>
      </c>
      <c r="M14" s="39">
        <f>M10*$B$13</f>
        <v/>
      </c>
      <c r="N14" s="39">
        <f>N10*$B$13</f>
        <v/>
      </c>
      <c r="O14" s="39">
        <f>O10*$B$13</f>
        <v/>
      </c>
      <c r="P14" s="39">
        <f>P10*$B$13</f>
        <v/>
      </c>
    </row>
    <row r="16" ht="16" customHeight="1">
      <c r="A16" s="15" t="inlineStr">
        <is>
          <t>TOTAL MAINTENANCE COST ($M) — Feeds Network O&amp;M in IS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>
      <c r="A17" s="17" t="inlineStr">
        <is>
          <t xml:space="preserve">  Total Maintenance (Planned + Corrective)</t>
        </is>
      </c>
      <c r="B17" s="44">
        <f>B10+B14</f>
        <v/>
      </c>
      <c r="C17" s="44">
        <f>C10+C14</f>
        <v/>
      </c>
      <c r="D17" s="44">
        <f>D10+D14</f>
        <v/>
      </c>
      <c r="E17" s="44">
        <f>E10+E14</f>
        <v/>
      </c>
      <c r="F17" s="44">
        <f>F10+F14</f>
        <v/>
      </c>
      <c r="G17" s="44">
        <f>G10+G14</f>
        <v/>
      </c>
      <c r="H17" s="44">
        <f>H10+H14</f>
        <v/>
      </c>
      <c r="I17" s="44">
        <f>I10+I14</f>
        <v/>
      </c>
      <c r="J17" s="44">
        <f>J10+J14</f>
        <v/>
      </c>
      <c r="K17" s="44">
        <f>K10+K14</f>
        <v/>
      </c>
      <c r="L17" s="44">
        <f>L10+L14</f>
        <v/>
      </c>
      <c r="M17" s="44">
        <f>M10+M14</f>
        <v/>
      </c>
      <c r="N17" s="44">
        <f>N10+N14</f>
        <v/>
      </c>
      <c r="O17" s="44">
        <f>O10+O14</f>
        <v/>
      </c>
      <c r="P17" s="44">
        <f>P10+P14</f>
        <v/>
      </c>
    </row>
    <row r="18">
      <c r="A18" s="45" t="inlineStr">
        <is>
          <t xml:space="preserve">  Note: Maintenance total is a supporting schedule. IS Network O&amp;M is currently driven by Assumptions/REFM. Update REFM O&amp;M inputs to align with this schedule.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Q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53" t="inlineStr">
        <is>
          <t>REVENUE &amp; EXPENDITURE FORECASTING MODEL (REFM)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Operating Expenditure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Network O&amp;M</t>
        </is>
      </c>
      <c r="B5" s="26">
        <f>Assumptions!B61</f>
        <v/>
      </c>
      <c r="C5" s="26">
        <f>Assumptions!C61</f>
        <v/>
      </c>
      <c r="D5" s="26">
        <f>Assumptions!D61</f>
        <v/>
      </c>
      <c r="E5" s="26">
        <f>Assumptions!E61</f>
        <v/>
      </c>
      <c r="F5" s="26">
        <f>Assumptions!F61</f>
        <v/>
      </c>
      <c r="G5" s="39">
        <f>Assumptions!G23</f>
        <v/>
      </c>
      <c r="H5" s="39">
        <f>Assumptions!H23</f>
        <v/>
      </c>
      <c r="I5" s="39">
        <f>Assumptions!I23</f>
        <v/>
      </c>
      <c r="J5" s="39">
        <f>Assumptions!J23</f>
        <v/>
      </c>
      <c r="K5" s="39">
        <f>Assumptions!K23</f>
        <v/>
      </c>
      <c r="L5" s="39">
        <f>Assumptions!L23</f>
        <v/>
      </c>
      <c r="M5" s="39">
        <f>Assumptions!M23</f>
        <v/>
      </c>
      <c r="N5" s="39">
        <f>Assumptions!N23</f>
        <v/>
      </c>
      <c r="O5" s="39">
        <f>Assumptions!O23</f>
        <v/>
      </c>
      <c r="P5" s="39">
        <f>Assumptions!P23</f>
        <v/>
      </c>
    </row>
    <row r="6">
      <c r="A6" s="17" t="inlineStr">
        <is>
          <t xml:space="preserve">  Corporate</t>
        </is>
      </c>
      <c r="B6" s="26">
        <f>Assumptions!B62</f>
        <v/>
      </c>
      <c r="C6" s="26">
        <f>Assumptions!C62</f>
        <v/>
      </c>
      <c r="D6" s="26">
        <f>Assumptions!D62</f>
        <v/>
      </c>
      <c r="E6" s="26">
        <f>Assumptions!E62</f>
        <v/>
      </c>
      <c r="F6" s="26">
        <f>Assumptions!F62</f>
        <v/>
      </c>
      <c r="G6" s="39">
        <f>Assumptions!G24</f>
        <v/>
      </c>
      <c r="H6" s="39">
        <f>Assumptions!H24</f>
        <v/>
      </c>
      <c r="I6" s="39">
        <f>Assumptions!I24</f>
        <v/>
      </c>
      <c r="J6" s="39">
        <f>Assumptions!J24</f>
        <v/>
      </c>
      <c r="K6" s="39">
        <f>Assumptions!K24</f>
        <v/>
      </c>
      <c r="L6" s="39">
        <f>Assumptions!L24</f>
        <v/>
      </c>
      <c r="M6" s="39">
        <f>Assumptions!M24</f>
        <v/>
      </c>
      <c r="N6" s="39">
        <f>Assumptions!N24</f>
        <v/>
      </c>
      <c r="O6" s="39">
        <f>Assumptions!O24</f>
        <v/>
      </c>
      <c r="P6" s="39">
        <f>Assumptions!P24</f>
        <v/>
      </c>
    </row>
    <row r="7">
      <c r="A7" s="17" t="inlineStr">
        <is>
          <t xml:space="preserve">  Insurance</t>
        </is>
      </c>
      <c r="B7" s="26">
        <f>Assumptions!B63</f>
        <v/>
      </c>
      <c r="C7" s="26">
        <f>Assumptions!C63</f>
        <v/>
      </c>
      <c r="D7" s="26">
        <f>Assumptions!D63</f>
        <v/>
      </c>
      <c r="E7" s="26">
        <f>Assumptions!E63</f>
        <v/>
      </c>
      <c r="F7" s="26">
        <f>Assumptions!F63</f>
        <v/>
      </c>
      <c r="G7" s="39">
        <f>Assumptions!G25</f>
        <v/>
      </c>
      <c r="H7" s="39">
        <f>Assumptions!H25</f>
        <v/>
      </c>
      <c r="I7" s="39">
        <f>Assumptions!I25</f>
        <v/>
      </c>
      <c r="J7" s="39">
        <f>Assumptions!J25</f>
        <v/>
      </c>
      <c r="K7" s="39">
        <f>Assumptions!K25</f>
        <v/>
      </c>
      <c r="L7" s="39">
        <f>Assumptions!L25</f>
        <v/>
      </c>
      <c r="M7" s="39">
        <f>Assumptions!M25</f>
        <v/>
      </c>
      <c r="N7" s="39">
        <f>Assumptions!N25</f>
        <v/>
      </c>
      <c r="O7" s="39">
        <f>Assumptions!O25</f>
        <v/>
      </c>
      <c r="P7" s="39">
        <f>Assumptions!P25</f>
        <v/>
      </c>
    </row>
    <row r="8">
      <c r="A8" s="17" t="inlineStr">
        <is>
          <t xml:space="preserve">  Regulatory</t>
        </is>
      </c>
      <c r="B8" s="26">
        <f>Assumptions!B64</f>
        <v/>
      </c>
      <c r="C8" s="26">
        <f>Assumptions!C64</f>
        <v/>
      </c>
      <c r="D8" s="26">
        <f>Assumptions!D64</f>
        <v/>
      </c>
      <c r="E8" s="26">
        <f>Assumptions!E64</f>
        <v/>
      </c>
      <c r="F8" s="26">
        <f>Assumptions!F64</f>
        <v/>
      </c>
      <c r="G8" s="39">
        <f>Assumptions!G26</f>
        <v/>
      </c>
      <c r="H8" s="39">
        <f>Assumptions!H26</f>
        <v/>
      </c>
      <c r="I8" s="39">
        <f>Assumptions!I26</f>
        <v/>
      </c>
      <c r="J8" s="39">
        <f>Assumptions!J26</f>
        <v/>
      </c>
      <c r="K8" s="39">
        <f>Assumptions!K26</f>
        <v/>
      </c>
      <c r="L8" s="39">
        <f>Assumptions!L26</f>
        <v/>
      </c>
      <c r="M8" s="39">
        <f>Assumptions!M26</f>
        <v/>
      </c>
      <c r="N8" s="39">
        <f>Assumptions!N26</f>
        <v/>
      </c>
      <c r="O8" s="39">
        <f>Assumptions!O26</f>
        <v/>
      </c>
      <c r="P8" s="39">
        <f>Assumptions!P26</f>
        <v/>
      </c>
    </row>
    <row r="9">
      <c r="A9" s="17" t="inlineStr">
        <is>
          <t>Total Opex</t>
        </is>
      </c>
      <c r="B9" s="44">
        <f>SUM(B5:B8)</f>
        <v/>
      </c>
      <c r="C9" s="44">
        <f>SUM(C5:C8)</f>
        <v/>
      </c>
      <c r="D9" s="44">
        <f>SUM(D5:D8)</f>
        <v/>
      </c>
      <c r="E9" s="44">
        <f>SUM(E5:E8)</f>
        <v/>
      </c>
      <c r="F9" s="44">
        <f>SUM(F5:F8)</f>
        <v/>
      </c>
      <c r="G9" s="44">
        <f>SUM(G5:G8)</f>
        <v/>
      </c>
      <c r="H9" s="44">
        <f>SUM(H5:H8)</f>
        <v/>
      </c>
      <c r="I9" s="44">
        <f>SUM(I5:I8)</f>
        <v/>
      </c>
      <c r="J9" s="44">
        <f>SUM(J5:J8)</f>
        <v/>
      </c>
      <c r="K9" s="44">
        <f>SUM(K5:K8)</f>
        <v/>
      </c>
      <c r="L9" s="44">
        <f>SUM(L5:L8)</f>
        <v/>
      </c>
      <c r="M9" s="44">
        <f>SUM(M5:M8)</f>
        <v/>
      </c>
      <c r="N9" s="44">
        <f>SUM(N5:N8)</f>
        <v/>
      </c>
      <c r="O9" s="44">
        <f>SUM(O5:O8)</f>
        <v/>
      </c>
      <c r="P9" s="44">
        <f>SUM(P5:P8)</f>
        <v/>
      </c>
    </row>
    <row r="11" ht="16" customHeight="1">
      <c r="A11" s="15" t="inlineStr">
        <is>
          <t>Capital Expenditure ($M) — Forecast sourced from Capex tab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>
      <c r="A12" s="17" t="inlineStr">
        <is>
          <t xml:space="preserve">  Augmentation Capex</t>
        </is>
      </c>
      <c r="B12" s="26">
        <f>Assumptions!B67</f>
        <v/>
      </c>
      <c r="C12" s="26">
        <f>Assumptions!C67</f>
        <v/>
      </c>
      <c r="D12" s="26">
        <f>Assumptions!D67</f>
        <v/>
      </c>
      <c r="E12" s="26">
        <f>Assumptions!E67</f>
        <v/>
      </c>
      <c r="F12" s="26">
        <f>Assumptions!F67</f>
        <v/>
      </c>
      <c r="G12" s="39">
        <f>Capex!G5</f>
        <v/>
      </c>
      <c r="H12" s="39">
        <f>Capex!H5</f>
        <v/>
      </c>
      <c r="I12" s="39">
        <f>Capex!I5</f>
        <v/>
      </c>
      <c r="J12" s="39">
        <f>Capex!J5</f>
        <v/>
      </c>
      <c r="K12" s="39">
        <f>Capex!K5</f>
        <v/>
      </c>
      <c r="L12" s="39">
        <f>Capex!L5</f>
        <v/>
      </c>
      <c r="M12" s="39">
        <f>Capex!M5</f>
        <v/>
      </c>
      <c r="N12" s="39">
        <f>Capex!N5</f>
        <v/>
      </c>
      <c r="O12" s="39">
        <f>Capex!O5</f>
        <v/>
      </c>
      <c r="P12" s="39">
        <f>Capex!P5</f>
        <v/>
      </c>
    </row>
    <row r="13">
      <c r="A13" s="17" t="inlineStr">
        <is>
          <t xml:space="preserve">  Replacement / Renewal</t>
        </is>
      </c>
      <c r="B13" s="26">
        <f>Assumptions!B68</f>
        <v/>
      </c>
      <c r="C13" s="26">
        <f>Assumptions!C68</f>
        <v/>
      </c>
      <c r="D13" s="26">
        <f>Assumptions!D68</f>
        <v/>
      </c>
      <c r="E13" s="26">
        <f>Assumptions!E68</f>
        <v/>
      </c>
      <c r="F13" s="26">
        <f>Assumptions!F68</f>
        <v/>
      </c>
      <c r="G13" s="39">
        <f>Capex!G6</f>
        <v/>
      </c>
      <c r="H13" s="39">
        <f>Capex!H6</f>
        <v/>
      </c>
      <c r="I13" s="39">
        <f>Capex!I6</f>
        <v/>
      </c>
      <c r="J13" s="39">
        <f>Capex!J6</f>
        <v/>
      </c>
      <c r="K13" s="39">
        <f>Capex!K6</f>
        <v/>
      </c>
      <c r="L13" s="39">
        <f>Capex!L6</f>
        <v/>
      </c>
      <c r="M13" s="39">
        <f>Capex!M6</f>
        <v/>
      </c>
      <c r="N13" s="39">
        <f>Capex!N6</f>
        <v/>
      </c>
      <c r="O13" s="39">
        <f>Capex!O6</f>
        <v/>
      </c>
      <c r="P13" s="39">
        <f>Capex!P6</f>
        <v/>
      </c>
    </row>
    <row r="14">
      <c r="A14" s="17" t="inlineStr">
        <is>
          <t xml:space="preserve">  Connections</t>
        </is>
      </c>
      <c r="B14" s="26">
        <f>Assumptions!B69</f>
        <v/>
      </c>
      <c r="C14" s="26">
        <f>Assumptions!C69</f>
        <v/>
      </c>
      <c r="D14" s="26">
        <f>Assumptions!D69</f>
        <v/>
      </c>
      <c r="E14" s="26">
        <f>Assumptions!E69</f>
        <v/>
      </c>
      <c r="F14" s="26">
        <f>Assumptions!F69</f>
        <v/>
      </c>
      <c r="G14" s="39">
        <f>Capex!G7</f>
        <v/>
      </c>
      <c r="H14" s="39">
        <f>Capex!H7</f>
        <v/>
      </c>
      <c r="I14" s="39">
        <f>Capex!I7</f>
        <v/>
      </c>
      <c r="J14" s="39">
        <f>Capex!J7</f>
        <v/>
      </c>
      <c r="K14" s="39">
        <f>Capex!K7</f>
        <v/>
      </c>
      <c r="L14" s="39">
        <f>Capex!L7</f>
        <v/>
      </c>
      <c r="M14" s="39">
        <f>Capex!M7</f>
        <v/>
      </c>
      <c r="N14" s="39">
        <f>Capex!N7</f>
        <v/>
      </c>
      <c r="O14" s="39">
        <f>Capex!O7</f>
        <v/>
      </c>
      <c r="P14" s="39">
        <f>Capex!P7</f>
        <v/>
      </c>
    </row>
    <row r="15">
      <c r="A15" s="17" t="inlineStr">
        <is>
          <t>Total Capex</t>
        </is>
      </c>
      <c r="B15" s="44">
        <f>SUM(B12:B14)</f>
        <v/>
      </c>
      <c r="C15" s="44">
        <f>SUM(C12:C14)</f>
        <v/>
      </c>
      <c r="D15" s="44">
        <f>SUM(D12:D14)</f>
        <v/>
      </c>
      <c r="E15" s="44">
        <f>SUM(E12:E14)</f>
        <v/>
      </c>
      <c r="F15" s="44">
        <f>SUM(F12:F14)</f>
        <v/>
      </c>
      <c r="G15" s="44">
        <f>SUM(G12:G14)</f>
        <v/>
      </c>
      <c r="H15" s="44">
        <f>SUM(H12:H14)</f>
        <v/>
      </c>
      <c r="I15" s="44">
        <f>SUM(I12:I14)</f>
        <v/>
      </c>
      <c r="J15" s="44">
        <f>SUM(J12:J14)</f>
        <v/>
      </c>
      <c r="K15" s="44">
        <f>SUM(K12:K14)</f>
        <v/>
      </c>
      <c r="L15" s="44">
        <f>SUM(L12:L14)</f>
        <v/>
      </c>
      <c r="M15" s="44">
        <f>SUM(M12:M14)</f>
        <v/>
      </c>
      <c r="N15" s="44">
        <f>SUM(N12:N14)</f>
        <v/>
      </c>
      <c r="O15" s="44">
        <f>SUM(O12:O14)</f>
        <v/>
      </c>
      <c r="P15" s="44">
        <f>SUM(P12:P14)</f>
        <v/>
      </c>
    </row>
    <row r="17" ht="16" customHeight="1">
      <c r="A17" s="15" t="inlineStr">
        <is>
          <t>Opex Variance — Allowed vs Actual ($M)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>
      <c r="A18" s="17" t="inlineStr">
        <is>
          <t xml:space="preserve">  Opex Allowed (from PTRM)</t>
        </is>
      </c>
      <c r="B18" s="26">
        <f>PTRM!B7</f>
        <v/>
      </c>
      <c r="C18" s="26">
        <f>PTRM!C7</f>
        <v/>
      </c>
      <c r="D18" s="26">
        <f>PTRM!D7</f>
        <v/>
      </c>
      <c r="E18" s="26">
        <f>PTRM!E7</f>
        <v/>
      </c>
      <c r="F18" s="26">
        <f>PTRM!F7</f>
        <v/>
      </c>
      <c r="G18" s="39">
        <f>PTRM!G7</f>
        <v/>
      </c>
      <c r="H18" s="39">
        <f>PTRM!H7</f>
        <v/>
      </c>
      <c r="I18" s="39">
        <f>PTRM!I7</f>
        <v/>
      </c>
      <c r="J18" s="39">
        <f>PTRM!J7</f>
        <v/>
      </c>
      <c r="K18" s="39">
        <f>PTRM!K7</f>
        <v/>
      </c>
      <c r="L18" s="39">
        <f>PTRM!L7</f>
        <v/>
      </c>
      <c r="M18" s="39">
        <f>PTRM!M7</f>
        <v/>
      </c>
      <c r="N18" s="39">
        <f>PTRM!N7</f>
        <v/>
      </c>
      <c r="O18" s="39">
        <f>PTRM!O7</f>
        <v/>
      </c>
      <c r="P18" s="39">
        <f>PTRM!P7</f>
        <v/>
      </c>
    </row>
    <row r="19">
      <c r="A19" s="17" t="inlineStr">
        <is>
          <t xml:space="preserve">  Opex Actual (this sheet)</t>
        </is>
      </c>
      <c r="B19" s="26">
        <f>B9</f>
        <v/>
      </c>
      <c r="C19" s="26">
        <f>C9</f>
        <v/>
      </c>
      <c r="D19" s="26">
        <f>D9</f>
        <v/>
      </c>
      <c r="E19" s="26">
        <f>E9</f>
        <v/>
      </c>
      <c r="F19" s="26">
        <f>F9</f>
        <v/>
      </c>
      <c r="G19" s="39">
        <f>G9</f>
        <v/>
      </c>
      <c r="H19" s="39">
        <f>H9</f>
        <v/>
      </c>
      <c r="I19" s="39">
        <f>I9</f>
        <v/>
      </c>
      <c r="J19" s="39">
        <f>J9</f>
        <v/>
      </c>
      <c r="K19" s="39">
        <f>K9</f>
        <v/>
      </c>
      <c r="L19" s="39">
        <f>L9</f>
        <v/>
      </c>
      <c r="M19" s="39">
        <f>M9</f>
        <v/>
      </c>
      <c r="N19" s="39">
        <f>N9</f>
        <v/>
      </c>
      <c r="O19" s="39">
        <f>O9</f>
        <v/>
      </c>
      <c r="P19" s="39">
        <f>P9</f>
        <v/>
      </c>
    </row>
    <row r="20">
      <c r="A20" s="17" t="inlineStr">
        <is>
          <t xml:space="preserve">  Variance (Allowed − Actual)</t>
        </is>
      </c>
      <c r="B20" s="43">
        <f>B18-B19</f>
        <v/>
      </c>
      <c r="C20" s="43">
        <f>C18-C19</f>
        <v/>
      </c>
      <c r="D20" s="43">
        <f>D18-D19</f>
        <v/>
      </c>
      <c r="E20" s="43">
        <f>E18-E19</f>
        <v/>
      </c>
      <c r="F20" s="43">
        <f>F18-F19</f>
        <v/>
      </c>
      <c r="G20" s="47">
        <f>G18-G19</f>
        <v/>
      </c>
      <c r="H20" s="47">
        <f>H18-H19</f>
        <v/>
      </c>
      <c r="I20" s="47">
        <f>I18-I19</f>
        <v/>
      </c>
      <c r="J20" s="47">
        <f>J18-J19</f>
        <v/>
      </c>
      <c r="K20" s="47">
        <f>K18-K19</f>
        <v/>
      </c>
      <c r="L20" s="47">
        <f>L18-L19</f>
        <v/>
      </c>
      <c r="M20" s="47">
        <f>M18-M19</f>
        <v/>
      </c>
      <c r="N20" s="47">
        <f>N18-N19</f>
        <v/>
      </c>
      <c r="O20" s="47">
        <f>O18-O19</f>
        <v/>
      </c>
      <c r="P20" s="47">
        <f>P18-P19</f>
        <v/>
      </c>
    </row>
    <row r="22" ht="16" customHeight="1">
      <c r="A22" s="15" t="inlineStr">
        <is>
          <t>Efficiency Carryover Mechanism (ECM)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>
      <c r="A23" s="17" t="inlineStr">
        <is>
          <t xml:space="preserve">  ECM Sharing Rate</t>
        </is>
      </c>
      <c r="B23" s="18" t="n">
        <v>0.3</v>
      </c>
    </row>
    <row r="24">
      <c r="A24" s="17" t="inlineStr">
        <is>
          <t xml:space="preserve">  ECM Benefit ($M)</t>
        </is>
      </c>
      <c r="B24" s="26">
        <f>MAX(B20,0)*$B$23</f>
        <v/>
      </c>
      <c r="C24" s="26">
        <f>MAX(C20,0)*$B$23</f>
        <v/>
      </c>
      <c r="D24" s="26">
        <f>MAX(D20,0)*$B$23</f>
        <v/>
      </c>
      <c r="E24" s="26">
        <f>MAX(E20,0)*$B$23</f>
        <v/>
      </c>
      <c r="F24" s="26">
        <f>MAX(F20,0)*$B$23</f>
        <v/>
      </c>
      <c r="G24" s="39">
        <f>MAX(G20,0)*$B$23</f>
        <v/>
      </c>
      <c r="H24" s="39">
        <f>MAX(H20,0)*$B$23</f>
        <v/>
      </c>
      <c r="I24" s="39">
        <f>MAX(I20,0)*$B$23</f>
        <v/>
      </c>
      <c r="J24" s="39">
        <f>MAX(J20,0)*$B$23</f>
        <v/>
      </c>
      <c r="K24" s="39">
        <f>MAX(K20,0)*$B$23</f>
        <v/>
      </c>
      <c r="L24" s="39">
        <f>MAX(L20,0)*$B$23</f>
        <v/>
      </c>
      <c r="M24" s="39">
        <f>MAX(M20,0)*$B$23</f>
        <v/>
      </c>
      <c r="N24" s="39">
        <f>MAX(N20,0)*$B$23</f>
        <v/>
      </c>
      <c r="O24" s="39">
        <f>MAX(O20,0)*$B$23</f>
        <v/>
      </c>
      <c r="P24" s="39">
        <f>MAX(P20,0)*$B$23</f>
        <v/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Q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54" t="inlineStr">
        <is>
          <t>FRONTIER PRICING MODEL — Efficiency Shift &amp; X-Factor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Frontier Efficiency Adjustment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Cumulative Frontier Shift Factor</t>
        </is>
      </c>
      <c r="B5" s="29" t="n">
        <v>1</v>
      </c>
      <c r="C5" s="29" t="n">
        <v>1</v>
      </c>
      <c r="D5" s="29" t="n">
        <v>1</v>
      </c>
      <c r="E5" s="29" t="n">
        <v>1</v>
      </c>
      <c r="F5" s="29" t="n">
        <v>1</v>
      </c>
      <c r="G5" s="31">
        <f>(1-Assumptions!$B$56)^1</f>
        <v/>
      </c>
      <c r="H5" s="31">
        <f>(1-Assumptions!$B$56)^2</f>
        <v/>
      </c>
      <c r="I5" s="31">
        <f>(1-Assumptions!$B$56)^3</f>
        <v/>
      </c>
      <c r="J5" s="31">
        <f>(1-Assumptions!$B$56)^4</f>
        <v/>
      </c>
      <c r="K5" s="31">
        <f>(1-Assumptions!$B$56)^5</f>
        <v/>
      </c>
      <c r="L5" s="31">
        <f>(1-Assumptions!$B$56)^6</f>
        <v/>
      </c>
      <c r="M5" s="31">
        <f>(1-Assumptions!$B$56)^7</f>
        <v/>
      </c>
      <c r="N5" s="31">
        <f>(1-Assumptions!$B$56)^8</f>
        <v/>
      </c>
      <c r="O5" s="31">
        <f>(1-Assumptions!$B$56)^9</f>
        <v/>
      </c>
      <c r="P5" s="31">
        <f>(1-Assumptions!$B$56)^10</f>
        <v/>
      </c>
    </row>
    <row r="6">
      <c r="A6" s="17" t="inlineStr">
        <is>
          <t xml:space="preserve">  Raw Opex — from REFM ($M)</t>
        </is>
      </c>
      <c r="B6" s="26">
        <f>REFM!B9</f>
        <v/>
      </c>
      <c r="C6" s="26">
        <f>REFM!C9</f>
        <v/>
      </c>
      <c r="D6" s="26">
        <f>REFM!D9</f>
        <v/>
      </c>
      <c r="E6" s="26">
        <f>REFM!E9</f>
        <v/>
      </c>
      <c r="F6" s="26">
        <f>REFM!F9</f>
        <v/>
      </c>
      <c r="G6" s="39">
        <f>REFM!G9</f>
        <v/>
      </c>
      <c r="H6" s="39">
        <f>REFM!H9</f>
        <v/>
      </c>
      <c r="I6" s="39">
        <f>REFM!I9</f>
        <v/>
      </c>
      <c r="J6" s="39">
        <f>REFM!J9</f>
        <v/>
      </c>
      <c r="K6" s="39">
        <f>REFM!K9</f>
        <v/>
      </c>
      <c r="L6" s="39">
        <f>REFM!L9</f>
        <v/>
      </c>
      <c r="M6" s="39">
        <f>REFM!M9</f>
        <v/>
      </c>
      <c r="N6" s="39">
        <f>REFM!N9</f>
        <v/>
      </c>
      <c r="O6" s="39">
        <f>REFM!O9</f>
        <v/>
      </c>
      <c r="P6" s="39">
        <f>REFM!P9</f>
        <v/>
      </c>
    </row>
    <row r="7">
      <c r="A7" s="17" t="inlineStr">
        <is>
          <t xml:space="preserve">  Frontier-Adjusted Opex Allowance ($M)</t>
        </is>
      </c>
      <c r="B7" s="26">
        <f>REFM!B9</f>
        <v/>
      </c>
      <c r="C7" s="26">
        <f>REFM!C9</f>
        <v/>
      </c>
      <c r="D7" s="26">
        <f>REFM!D9</f>
        <v/>
      </c>
      <c r="E7" s="26">
        <f>REFM!E9</f>
        <v/>
      </c>
      <c r="F7" s="26">
        <f>REFM!F9</f>
        <v/>
      </c>
      <c r="G7" s="39">
        <f>REFM!G9*G5*Assumptions!$B$57</f>
        <v/>
      </c>
      <c r="H7" s="39">
        <f>REFM!H9*H5*Assumptions!$B$57</f>
        <v/>
      </c>
      <c r="I7" s="39">
        <f>REFM!I9*I5*Assumptions!$B$57</f>
        <v/>
      </c>
      <c r="J7" s="39">
        <f>REFM!J9*J5*Assumptions!$B$57</f>
        <v/>
      </c>
      <c r="K7" s="39">
        <f>REFM!K9*K5*Assumptions!$B$57</f>
        <v/>
      </c>
      <c r="L7" s="39">
        <f>REFM!L9*L5*Assumptions!$B$57</f>
        <v/>
      </c>
      <c r="M7" s="39">
        <f>REFM!M9*M5*Assumptions!$B$57</f>
        <v/>
      </c>
      <c r="N7" s="39">
        <f>REFM!N9*N5*Assumptions!$B$57</f>
        <v/>
      </c>
      <c r="O7" s="39">
        <f>REFM!O9*O5*Assumptions!$B$57</f>
        <v/>
      </c>
      <c r="P7" s="39">
        <f>REFM!P9*P5*Assumptions!$B$57</f>
        <v/>
      </c>
    </row>
    <row r="8">
      <c r="A8" s="17" t="inlineStr">
        <is>
          <t xml:space="preserve">  Raw Capex — from REFM ($M)</t>
        </is>
      </c>
      <c r="B8" s="26">
        <f>REFM!B15</f>
        <v/>
      </c>
      <c r="C8" s="26">
        <f>REFM!C15</f>
        <v/>
      </c>
      <c r="D8" s="26">
        <f>REFM!D15</f>
        <v/>
      </c>
      <c r="E8" s="26">
        <f>REFM!E15</f>
        <v/>
      </c>
      <c r="F8" s="26">
        <f>REFM!F15</f>
        <v/>
      </c>
      <c r="G8" s="39">
        <f>REFM!G15</f>
        <v/>
      </c>
      <c r="H8" s="39">
        <f>REFM!H15</f>
        <v/>
      </c>
      <c r="I8" s="39">
        <f>REFM!I15</f>
        <v/>
      </c>
      <c r="J8" s="39">
        <f>REFM!J15</f>
        <v/>
      </c>
      <c r="K8" s="39">
        <f>REFM!K15</f>
        <v/>
      </c>
      <c r="L8" s="39">
        <f>REFM!L15</f>
        <v/>
      </c>
      <c r="M8" s="39">
        <f>REFM!M15</f>
        <v/>
      </c>
      <c r="N8" s="39">
        <f>REFM!N15</f>
        <v/>
      </c>
      <c r="O8" s="39">
        <f>REFM!O15</f>
        <v/>
      </c>
      <c r="P8" s="39">
        <f>REFM!P15</f>
        <v/>
      </c>
    </row>
    <row r="9">
      <c r="A9" s="17" t="inlineStr">
        <is>
          <t xml:space="preserve">  Frontier-Adjusted Capex ($M)</t>
        </is>
      </c>
      <c r="B9" s="26">
        <f>REFM!B15</f>
        <v/>
      </c>
      <c r="C9" s="26">
        <f>REFM!C15</f>
        <v/>
      </c>
      <c r="D9" s="26">
        <f>REFM!D15</f>
        <v/>
      </c>
      <c r="E9" s="26">
        <f>REFM!E15</f>
        <v/>
      </c>
      <c r="F9" s="26">
        <f>REFM!F15</f>
        <v/>
      </c>
      <c r="G9" s="39">
        <f>REFM!G15*Assumptions!$B$58</f>
        <v/>
      </c>
      <c r="H9" s="39">
        <f>REFM!H15*Assumptions!$B$58</f>
        <v/>
      </c>
      <c r="I9" s="39">
        <f>REFM!I15*Assumptions!$B$58</f>
        <v/>
      </c>
      <c r="J9" s="39">
        <f>REFM!J15*Assumptions!$B$58</f>
        <v/>
      </c>
      <c r="K9" s="39">
        <f>REFM!K15*Assumptions!$B$58</f>
        <v/>
      </c>
      <c r="L9" s="39">
        <f>REFM!L15*Assumptions!$B$58</f>
        <v/>
      </c>
      <c r="M9" s="39">
        <f>REFM!M15*Assumptions!$B$58</f>
        <v/>
      </c>
      <c r="N9" s="39">
        <f>REFM!N15*Assumptions!$B$58</f>
        <v/>
      </c>
      <c r="O9" s="39">
        <f>REFM!O15*Assumptions!$B$58</f>
        <v/>
      </c>
      <c r="P9" s="39">
        <f>REFM!P15*Assumptions!$B$58</f>
        <v/>
      </c>
    </row>
    <row r="11">
      <c r="A11" s="17" t="inlineStr">
        <is>
          <t xml:space="preserve">  X-Factor (%)</t>
        </is>
      </c>
      <c r="B11" s="22" t="n">
        <v>0</v>
      </c>
      <c r="C11" s="22" t="n">
        <v>0</v>
      </c>
      <c r="D11" s="22" t="n">
        <v>0</v>
      </c>
      <c r="E11" s="22" t="n">
        <v>0</v>
      </c>
      <c r="F11" s="22" t="n">
        <v>0</v>
      </c>
      <c r="G11" s="20">
        <f>Assumptions!$B$56</f>
        <v/>
      </c>
      <c r="H11" s="20">
        <f>Assumptions!$B$56</f>
        <v/>
      </c>
      <c r="I11" s="20">
        <f>Assumptions!$B$56</f>
        <v/>
      </c>
      <c r="J11" s="20">
        <f>Assumptions!$B$56</f>
        <v/>
      </c>
      <c r="K11" s="20">
        <f>Assumptions!$B$56</f>
        <v/>
      </c>
      <c r="L11" s="20">
        <f>Assumptions!$B$56</f>
        <v/>
      </c>
      <c r="M11" s="20">
        <f>Assumptions!$B$56</f>
        <v/>
      </c>
      <c r="N11" s="20">
        <f>Assumptions!$B$56</f>
        <v/>
      </c>
      <c r="O11" s="20">
        <f>Assumptions!$B$56</f>
        <v/>
      </c>
      <c r="P11" s="20">
        <f>Assumptions!$B$56</f>
        <v/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Q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55" t="inlineStr">
        <is>
          <t>REGULATORY ASSET BASE (RAB) ROLL-FORWARD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RAB Roll-Forward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Opening RAB</t>
        </is>
      </c>
      <c r="B5" s="26">
        <f>Assumptions!$B$34</f>
        <v/>
      </c>
      <c r="C5" s="26">
        <f>B9</f>
        <v/>
      </c>
      <c r="D5" s="26">
        <f>C9</f>
        <v/>
      </c>
      <c r="E5" s="26">
        <f>D9</f>
        <v/>
      </c>
      <c r="F5" s="26">
        <f>E9</f>
        <v/>
      </c>
      <c r="G5" s="39">
        <f>F9</f>
        <v/>
      </c>
      <c r="H5" s="39">
        <f>G9</f>
        <v/>
      </c>
      <c r="I5" s="39">
        <f>H9</f>
        <v/>
      </c>
      <c r="J5" s="39">
        <f>I9</f>
        <v/>
      </c>
      <c r="K5" s="39">
        <f>J9</f>
        <v/>
      </c>
      <c r="L5" s="39">
        <f>K9</f>
        <v/>
      </c>
      <c r="M5" s="39">
        <f>L9</f>
        <v/>
      </c>
      <c r="N5" s="39">
        <f>M9</f>
        <v/>
      </c>
      <c r="O5" s="39">
        <f>N9</f>
        <v/>
      </c>
      <c r="P5" s="39">
        <f>O9</f>
        <v/>
      </c>
    </row>
    <row r="6">
      <c r="A6" s="17" t="inlineStr">
        <is>
          <t xml:space="preserve">  + CPI Indexation</t>
        </is>
      </c>
      <c r="B6" s="26">
        <f>B5*Assumptions!B15</f>
        <v/>
      </c>
      <c r="C6" s="26">
        <f>C5*Assumptions!C15</f>
        <v/>
      </c>
      <c r="D6" s="26">
        <f>D5*Assumptions!D15</f>
        <v/>
      </c>
      <c r="E6" s="26">
        <f>E5*Assumptions!E15</f>
        <v/>
      </c>
      <c r="F6" s="26">
        <f>F5*Assumptions!F15</f>
        <v/>
      </c>
      <c r="G6" s="39">
        <f>G5*Assumptions!G15</f>
        <v/>
      </c>
      <c r="H6" s="39">
        <f>H5*Assumptions!H15</f>
        <v/>
      </c>
      <c r="I6" s="39">
        <f>I5*Assumptions!I15</f>
        <v/>
      </c>
      <c r="J6" s="39">
        <f>J5*Assumptions!J15</f>
        <v/>
      </c>
      <c r="K6" s="39">
        <f>K5*Assumptions!K15</f>
        <v/>
      </c>
      <c r="L6" s="39">
        <f>L5*Assumptions!L15</f>
        <v/>
      </c>
      <c r="M6" s="39">
        <f>M5*Assumptions!M15</f>
        <v/>
      </c>
      <c r="N6" s="39">
        <f>N5*Assumptions!N15</f>
        <v/>
      </c>
      <c r="O6" s="39">
        <f>O5*Assumptions!O15</f>
        <v/>
      </c>
      <c r="P6" s="39">
        <f>P5*Assumptions!P15</f>
        <v/>
      </c>
    </row>
    <row r="7">
      <c r="A7" s="17" t="inlineStr">
        <is>
          <t xml:space="preserve">  + Capex Additions</t>
        </is>
      </c>
      <c r="B7" s="26">
        <f>REFM!B15</f>
        <v/>
      </c>
      <c r="C7" s="26">
        <f>REFM!C15</f>
        <v/>
      </c>
      <c r="D7" s="26">
        <f>REFM!D15</f>
        <v/>
      </c>
      <c r="E7" s="26">
        <f>REFM!E15</f>
        <v/>
      </c>
      <c r="F7" s="26">
        <f>REFM!F15</f>
        <v/>
      </c>
      <c r="G7" s="39">
        <f>REFM!G15</f>
        <v/>
      </c>
      <c r="H7" s="39">
        <f>REFM!H15</f>
        <v/>
      </c>
      <c r="I7" s="39">
        <f>REFM!I15</f>
        <v/>
      </c>
      <c r="J7" s="39">
        <f>REFM!J15</f>
        <v/>
      </c>
      <c r="K7" s="39">
        <f>REFM!K15</f>
        <v/>
      </c>
      <c r="L7" s="39">
        <f>REFM!L15</f>
        <v/>
      </c>
      <c r="M7" s="39">
        <f>REFM!M15</f>
        <v/>
      </c>
      <c r="N7" s="39">
        <f>REFM!N15</f>
        <v/>
      </c>
      <c r="O7" s="39">
        <f>REFM!O15</f>
        <v/>
      </c>
      <c r="P7" s="39">
        <f>REFM!P15</f>
        <v/>
      </c>
    </row>
    <row r="8">
      <c r="A8" s="17" t="inlineStr">
        <is>
          <t xml:space="preserve">  − Regulatory Depreciation</t>
        </is>
      </c>
      <c r="B8" s="26">
        <f>B5/Assumptions!$B$35</f>
        <v/>
      </c>
      <c r="C8" s="26">
        <f>C5/Assumptions!$B$35</f>
        <v/>
      </c>
      <c r="D8" s="26">
        <f>D5/Assumptions!$B$35</f>
        <v/>
      </c>
      <c r="E8" s="26">
        <f>E5/Assumptions!$B$35</f>
        <v/>
      </c>
      <c r="F8" s="26">
        <f>F5/Assumptions!$B$35</f>
        <v/>
      </c>
      <c r="G8" s="39">
        <f>G5/Assumptions!$B$35</f>
        <v/>
      </c>
      <c r="H8" s="39">
        <f>H5/Assumptions!$B$35</f>
        <v/>
      </c>
      <c r="I8" s="39">
        <f>I5/Assumptions!$B$35</f>
        <v/>
      </c>
      <c r="J8" s="39">
        <f>J5/Assumptions!$B$35</f>
        <v/>
      </c>
      <c r="K8" s="39">
        <f>K5/Assumptions!$B$35</f>
        <v/>
      </c>
      <c r="L8" s="39">
        <f>L5/Assumptions!$B$35</f>
        <v/>
      </c>
      <c r="M8" s="39">
        <f>M5/Assumptions!$B$35</f>
        <v/>
      </c>
      <c r="N8" s="39">
        <f>N5/Assumptions!$B$35</f>
        <v/>
      </c>
      <c r="O8" s="39">
        <f>O5/Assumptions!$B$35</f>
        <v/>
      </c>
      <c r="P8" s="39">
        <f>P5/Assumptions!$B$35</f>
        <v/>
      </c>
    </row>
    <row r="9">
      <c r="A9" s="17" t="inlineStr">
        <is>
          <t xml:space="preserve">  = Closing RAB</t>
        </is>
      </c>
      <c r="B9" s="44">
        <f>B5+B6+B7-B8</f>
        <v/>
      </c>
      <c r="C9" s="44">
        <f>C5+C6+C7-C8</f>
        <v/>
      </c>
      <c r="D9" s="44">
        <f>D5+D6+D7-D8</f>
        <v/>
      </c>
      <c r="E9" s="44">
        <f>E5+E6+E7-E8</f>
        <v/>
      </c>
      <c r="F9" s="44">
        <f>F5+F6+F7-F8</f>
        <v/>
      </c>
      <c r="G9" s="44">
        <f>G5+G6+G7-G8</f>
        <v/>
      </c>
      <c r="H9" s="44">
        <f>H5+H6+H7-H8</f>
        <v/>
      </c>
      <c r="I9" s="44">
        <f>I5+I6+I7-I8</f>
        <v/>
      </c>
      <c r="J9" s="44">
        <f>J5+J6+J7-J8</f>
        <v/>
      </c>
      <c r="K9" s="44">
        <f>K5+K6+K7-K8</f>
        <v/>
      </c>
      <c r="L9" s="44">
        <f>L5+L6+L7-L8</f>
        <v/>
      </c>
      <c r="M9" s="44">
        <f>M5+M6+M7-M8</f>
        <v/>
      </c>
      <c r="N9" s="44">
        <f>N5+N6+N7-N8</f>
        <v/>
      </c>
      <c r="O9" s="44">
        <f>O5+O6+O7-O8</f>
        <v/>
      </c>
      <c r="P9" s="44">
        <f>P5+P6+P7-P8</f>
        <v/>
      </c>
    </row>
    <row r="11">
      <c r="A11" s="17" t="inlineStr">
        <is>
          <t xml:space="preserve">  Average RAB (Return on RAB base)</t>
        </is>
      </c>
      <c r="B11" s="26">
        <f>(B5+B9)/2</f>
        <v/>
      </c>
      <c r="C11" s="26">
        <f>(C5+C9)/2</f>
        <v/>
      </c>
      <c r="D11" s="26">
        <f>(D5+D9)/2</f>
        <v/>
      </c>
      <c r="E11" s="26">
        <f>(E5+E9)/2</f>
        <v/>
      </c>
      <c r="F11" s="26">
        <f>(F5+F9)/2</f>
        <v/>
      </c>
      <c r="G11" s="39">
        <f>(G5+G9)/2</f>
        <v/>
      </c>
      <c r="H11" s="39">
        <f>(H5+H9)/2</f>
        <v/>
      </c>
      <c r="I11" s="39">
        <f>(I5+I9)/2</f>
        <v/>
      </c>
      <c r="J11" s="39">
        <f>(J5+J9)/2</f>
        <v/>
      </c>
      <c r="K11" s="39">
        <f>(K5+K9)/2</f>
        <v/>
      </c>
      <c r="L11" s="39">
        <f>(L5+L9)/2</f>
        <v/>
      </c>
      <c r="M11" s="39">
        <f>(M5+M9)/2</f>
        <v/>
      </c>
      <c r="N11" s="39">
        <f>(N5+N9)/2</f>
        <v/>
      </c>
      <c r="O11" s="39">
        <f>(O5+O9)/2</f>
        <v/>
      </c>
      <c r="P11" s="39">
        <f>(P5+P9)/2</f>
        <v/>
      </c>
    </row>
    <row r="13" ht="16" customHeight="1">
      <c r="A13" s="15" t="inlineStr">
        <is>
          <t>Accumulated Regulatory Depreciation ($M)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>
      <c r="A14" s="17" t="inlineStr">
        <is>
          <t xml:space="preserve">  Accum. Reg. Depreciation (closing)</t>
        </is>
      </c>
      <c r="B14" s="26">
        <f>Assumptions!$B$36+B8</f>
        <v/>
      </c>
      <c r="C14" s="26">
        <f>B14+C8</f>
        <v/>
      </c>
      <c r="D14" s="26">
        <f>C14+D8</f>
        <v/>
      </c>
      <c r="E14" s="26">
        <f>D14+E8</f>
        <v/>
      </c>
      <c r="F14" s="26">
        <f>E14+F8</f>
        <v/>
      </c>
      <c r="G14" s="39">
        <f>F14+G8</f>
        <v/>
      </c>
      <c r="H14" s="39">
        <f>G14+H8</f>
        <v/>
      </c>
      <c r="I14" s="39">
        <f>H14+I8</f>
        <v/>
      </c>
      <c r="J14" s="39">
        <f>I14+J8</f>
        <v/>
      </c>
      <c r="K14" s="39">
        <f>J14+K8</f>
        <v/>
      </c>
      <c r="L14" s="39">
        <f>K14+L8</f>
        <v/>
      </c>
      <c r="M14" s="39">
        <f>L14+M8</f>
        <v/>
      </c>
      <c r="N14" s="39">
        <f>M14+N8</f>
        <v/>
      </c>
      <c r="O14" s="39">
        <f>N14+O8</f>
        <v/>
      </c>
      <c r="P14" s="39">
        <f>O14+P8</f>
        <v/>
      </c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Q1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56" t="inlineStr">
        <is>
          <t>POST TAX REVENUE MODEL (PTRM) — Maximum Allowed Revenue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MAR Build-Up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Return on RAB  (Avg RAB × WACC)</t>
        </is>
      </c>
      <c r="B5" s="26" t="n">
        <v>319.5</v>
      </c>
      <c r="C5" s="26" t="n">
        <v>335.7</v>
      </c>
      <c r="D5" s="26" t="n">
        <v>353.8</v>
      </c>
      <c r="E5" s="26" t="n">
        <v>375.8</v>
      </c>
      <c r="F5" s="26" t="n">
        <v>407.4</v>
      </c>
      <c r="G5" s="39">
        <f>RAB!G11*Assumptions!$B$5</f>
        <v/>
      </c>
      <c r="H5" s="39">
        <f>RAB!H11*Assumptions!$B$5</f>
        <v/>
      </c>
      <c r="I5" s="39">
        <f>RAB!I11*Assumptions!$B$5</f>
        <v/>
      </c>
      <c r="J5" s="39">
        <f>RAB!J11*Assumptions!$B$5</f>
        <v/>
      </c>
      <c r="K5" s="39">
        <f>RAB!K11*Assumptions!$B$5</f>
        <v/>
      </c>
      <c r="L5" s="39">
        <f>RAB!L11*Assumptions!$B$5</f>
        <v/>
      </c>
      <c r="M5" s="39">
        <f>RAB!M11*Assumptions!$B$5</f>
        <v/>
      </c>
      <c r="N5" s="39">
        <f>RAB!N11*Assumptions!$B$5</f>
        <v/>
      </c>
      <c r="O5" s="39">
        <f>RAB!O11*Assumptions!$B$5</f>
        <v/>
      </c>
      <c r="P5" s="39">
        <f>RAB!P11*Assumptions!$B$5</f>
        <v/>
      </c>
    </row>
    <row r="6">
      <c r="A6" s="17" t="inlineStr">
        <is>
          <t xml:space="preserve">  Return of RAB  (Regulatory Depreciation)</t>
        </is>
      </c>
      <c r="B6" s="26" t="n">
        <v>120</v>
      </c>
      <c r="C6" s="26" t="n">
        <v>125.8</v>
      </c>
      <c r="D6" s="26" t="n">
        <v>132.4</v>
      </c>
      <c r="E6" s="26" t="n">
        <v>139.7</v>
      </c>
      <c r="F6" s="26" t="n">
        <v>149.3</v>
      </c>
      <c r="G6" s="39">
        <f>RAB!G8</f>
        <v/>
      </c>
      <c r="H6" s="39">
        <f>RAB!H8</f>
        <v/>
      </c>
      <c r="I6" s="39">
        <f>RAB!I8</f>
        <v/>
      </c>
      <c r="J6" s="39">
        <f>RAB!J8</f>
        <v/>
      </c>
      <c r="K6" s="39">
        <f>RAB!K8</f>
        <v/>
      </c>
      <c r="L6" s="39">
        <f>RAB!L8</f>
        <v/>
      </c>
      <c r="M6" s="39">
        <f>RAB!M8</f>
        <v/>
      </c>
      <c r="N6" s="39">
        <f>RAB!N8</f>
        <v/>
      </c>
      <c r="O6" s="39">
        <f>RAB!O8</f>
        <v/>
      </c>
      <c r="P6" s="39">
        <f>RAB!P8</f>
        <v/>
      </c>
    </row>
    <row r="7">
      <c r="A7" s="17" t="inlineStr">
        <is>
          <t xml:space="preserve">  Opex Allowance  (Frontier-adjusted)</t>
        </is>
      </c>
      <c r="B7" s="26" t="n">
        <v>168</v>
      </c>
      <c r="C7" s="26" t="n">
        <v>172</v>
      </c>
      <c r="D7" s="26" t="n">
        <v>176</v>
      </c>
      <c r="E7" s="26" t="n">
        <v>181</v>
      </c>
      <c r="F7" s="26" t="n">
        <v>185</v>
      </c>
      <c r="G7" s="39">
        <f>Frontier!G7</f>
        <v/>
      </c>
      <c r="H7" s="39">
        <f>Frontier!H7</f>
        <v/>
      </c>
      <c r="I7" s="39">
        <f>Frontier!I7</f>
        <v/>
      </c>
      <c r="J7" s="39">
        <f>Frontier!J7</f>
        <v/>
      </c>
      <c r="K7" s="39">
        <f>Frontier!K7</f>
        <v/>
      </c>
      <c r="L7" s="39">
        <f>Frontier!L7</f>
        <v/>
      </c>
      <c r="M7" s="39">
        <f>Frontier!M7</f>
        <v/>
      </c>
      <c r="N7" s="39">
        <f>Frontier!N7</f>
        <v/>
      </c>
      <c r="O7" s="39">
        <f>Frontier!O7</f>
        <v/>
      </c>
      <c r="P7" s="39">
        <f>Frontier!P7</f>
        <v/>
      </c>
    </row>
    <row r="8">
      <c r="A8" s="17" t="inlineStr">
        <is>
          <t xml:space="preserve">  Tax Allowance</t>
        </is>
      </c>
      <c r="B8" s="26" t="n">
        <v>39.7</v>
      </c>
      <c r="C8" s="26" t="n">
        <v>41.8</v>
      </c>
      <c r="D8" s="26" t="n">
        <v>44</v>
      </c>
      <c r="E8" s="26" t="n">
        <v>46.7</v>
      </c>
      <c r="F8" s="26" t="n">
        <v>50.7</v>
      </c>
      <c r="G8" s="39">
        <f>G15</f>
        <v/>
      </c>
      <c r="H8" s="39">
        <f>H15</f>
        <v/>
      </c>
      <c r="I8" s="39">
        <f>I15</f>
        <v/>
      </c>
      <c r="J8" s="39">
        <f>J15</f>
        <v/>
      </c>
      <c r="K8" s="39">
        <f>K15</f>
        <v/>
      </c>
      <c r="L8" s="39">
        <f>L15</f>
        <v/>
      </c>
      <c r="M8" s="39">
        <f>M15</f>
        <v/>
      </c>
      <c r="N8" s="39">
        <f>N15</f>
        <v/>
      </c>
      <c r="O8" s="39">
        <f>O15</f>
        <v/>
      </c>
      <c r="P8" s="39">
        <f>P15</f>
        <v/>
      </c>
    </row>
    <row r="9">
      <c r="A9" s="17" t="inlineStr">
        <is>
          <t xml:space="preserve">  Maximum Allowed Revenue (MAR)</t>
        </is>
      </c>
      <c r="B9" s="43" t="n">
        <v>603</v>
      </c>
      <c r="C9" s="43" t="n">
        <v>629</v>
      </c>
      <c r="D9" s="43" t="n">
        <v>666</v>
      </c>
      <c r="E9" s="43" t="n">
        <v>687</v>
      </c>
      <c r="F9" s="43" t="n">
        <v>731</v>
      </c>
      <c r="G9" s="44">
        <f>G5+G6+G7+G8</f>
        <v/>
      </c>
      <c r="H9" s="44">
        <f>H5+H6+H7+H8</f>
        <v/>
      </c>
      <c r="I9" s="44">
        <f>I5+I6+I7+I8</f>
        <v/>
      </c>
      <c r="J9" s="44">
        <f>J5+J6+J7+J8</f>
        <v/>
      </c>
      <c r="K9" s="44">
        <f>K5+K6+K7+K8</f>
        <v/>
      </c>
      <c r="L9" s="44">
        <f>L5+L6+L7+L8</f>
        <v/>
      </c>
      <c r="M9" s="44">
        <f>M5+M6+M7+M8</f>
        <v/>
      </c>
      <c r="N9" s="44">
        <f>N5+N6+N7+N8</f>
        <v/>
      </c>
      <c r="O9" s="44">
        <f>O5+O6+O7+O8</f>
        <v/>
      </c>
      <c r="P9" s="44">
        <f>P5+P6+P7+P8</f>
        <v/>
      </c>
    </row>
    <row r="11" ht="16" customHeight="1">
      <c r="A11" s="15" t="inlineStr">
        <is>
          <t>Tax Allowance Build-Up ($M)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>
      <c r="A12" s="17" t="inlineStr">
        <is>
          <t xml:space="preserve">  Taxable Income (Return on RAB)</t>
        </is>
      </c>
      <c r="B12" s="26" t="n">
        <v>319.5</v>
      </c>
      <c r="C12" s="26" t="n">
        <v>335.7</v>
      </c>
      <c r="D12" s="26" t="n">
        <v>353.8</v>
      </c>
      <c r="E12" s="26" t="n">
        <v>375.8</v>
      </c>
      <c r="F12" s="26" t="n">
        <v>407.4</v>
      </c>
      <c r="G12" s="39">
        <f>RAB!G11*Assumptions!$B$5</f>
        <v/>
      </c>
      <c r="H12" s="39">
        <f>RAB!H11*Assumptions!$B$5</f>
        <v/>
      </c>
      <c r="I12" s="39">
        <f>RAB!I11*Assumptions!$B$5</f>
        <v/>
      </c>
      <c r="J12" s="39">
        <f>RAB!J11*Assumptions!$B$5</f>
        <v/>
      </c>
      <c r="K12" s="39">
        <f>RAB!K11*Assumptions!$B$5</f>
        <v/>
      </c>
      <c r="L12" s="39">
        <f>RAB!L11*Assumptions!$B$5</f>
        <v/>
      </c>
      <c r="M12" s="39">
        <f>RAB!M11*Assumptions!$B$5</f>
        <v/>
      </c>
      <c r="N12" s="39">
        <f>RAB!N11*Assumptions!$B$5</f>
        <v/>
      </c>
      <c r="O12" s="39">
        <f>RAB!O11*Assumptions!$B$5</f>
        <v/>
      </c>
      <c r="P12" s="39">
        <f>RAB!P11*Assumptions!$B$5</f>
        <v/>
      </c>
    </row>
    <row r="13">
      <c r="A13" s="17" t="inlineStr">
        <is>
          <t xml:space="preserve">  Gross Tax (× tax rate)</t>
        </is>
      </c>
      <c r="B13" s="26" t="n">
        <v>95.8</v>
      </c>
      <c r="C13" s="26" t="n">
        <v>100.7</v>
      </c>
      <c r="D13" s="26" t="n">
        <v>106.1</v>
      </c>
      <c r="E13" s="26" t="n">
        <v>112.7</v>
      </c>
      <c r="F13" s="26" t="n">
        <v>122.2</v>
      </c>
      <c r="G13" s="39">
        <f>G12*Assumptions!$B$12</f>
        <v/>
      </c>
      <c r="H13" s="39">
        <f>H12*Assumptions!$B$12</f>
        <v/>
      </c>
      <c r="I13" s="39">
        <f>I12*Assumptions!$B$12</f>
        <v/>
      </c>
      <c r="J13" s="39">
        <f>J12*Assumptions!$B$12</f>
        <v/>
      </c>
      <c r="K13" s="39">
        <f>K12*Assumptions!$B$12</f>
        <v/>
      </c>
      <c r="L13" s="39">
        <f>L12*Assumptions!$B$12</f>
        <v/>
      </c>
      <c r="M13" s="39">
        <f>M12*Assumptions!$B$12</f>
        <v/>
      </c>
      <c r="N13" s="39">
        <f>N12*Assumptions!$B$12</f>
        <v/>
      </c>
      <c r="O13" s="39">
        <f>O12*Assumptions!$B$12</f>
        <v/>
      </c>
      <c r="P13" s="39">
        <f>P12*Assumptions!$B$12</f>
        <v/>
      </c>
    </row>
    <row r="14">
      <c r="A14" s="17" t="inlineStr">
        <is>
          <t xml:space="preserve">  Gamma Benefit (× gamma × tax rate)</t>
        </is>
      </c>
      <c r="B14" s="26" t="n">
        <v>56.1</v>
      </c>
      <c r="C14" s="26" t="n">
        <v>58.9</v>
      </c>
      <c r="D14" s="26" t="n">
        <v>62.1</v>
      </c>
      <c r="E14" s="26" t="n">
        <v>66</v>
      </c>
      <c r="F14" s="26" t="n">
        <v>71.5</v>
      </c>
      <c r="G14" s="39">
        <f>G12*Assumptions!$B$11*Assumptions!$B$12</f>
        <v/>
      </c>
      <c r="H14" s="39">
        <f>H12*Assumptions!$B$11*Assumptions!$B$12</f>
        <v/>
      </c>
      <c r="I14" s="39">
        <f>I12*Assumptions!$B$11*Assumptions!$B$12</f>
        <v/>
      </c>
      <c r="J14" s="39">
        <f>J12*Assumptions!$B$11*Assumptions!$B$12</f>
        <v/>
      </c>
      <c r="K14" s="39">
        <f>K12*Assumptions!$B$11*Assumptions!$B$12</f>
        <v/>
      </c>
      <c r="L14" s="39">
        <f>L12*Assumptions!$B$11*Assumptions!$B$12</f>
        <v/>
      </c>
      <c r="M14" s="39">
        <f>M12*Assumptions!$B$11*Assumptions!$B$12</f>
        <v/>
      </c>
      <c r="N14" s="39">
        <f>N12*Assumptions!$B$11*Assumptions!$B$12</f>
        <v/>
      </c>
      <c r="O14" s="39">
        <f>O12*Assumptions!$B$11*Assumptions!$B$12</f>
        <v/>
      </c>
      <c r="P14" s="39">
        <f>P12*Assumptions!$B$11*Assumptions!$B$12</f>
        <v/>
      </c>
    </row>
    <row r="15">
      <c r="A15" s="17" t="inlineStr">
        <is>
          <t xml:space="preserve">  Net Tax Allowance</t>
        </is>
      </c>
      <c r="B15" s="26" t="n">
        <v>39.7</v>
      </c>
      <c r="C15" s="26" t="n">
        <v>41.8</v>
      </c>
      <c r="D15" s="26" t="n">
        <v>44</v>
      </c>
      <c r="E15" s="26" t="n">
        <v>46.7</v>
      </c>
      <c r="F15" s="26" t="n">
        <v>50.7</v>
      </c>
      <c r="G15" s="39">
        <f>G13-G14</f>
        <v/>
      </c>
      <c r="H15" s="39">
        <f>H13-H14</f>
        <v/>
      </c>
      <c r="I15" s="39">
        <f>I13-I14</f>
        <v/>
      </c>
      <c r="J15" s="39">
        <f>J13-J14</f>
        <v/>
      </c>
      <c r="K15" s="39">
        <f>K13-K14</f>
        <v/>
      </c>
      <c r="L15" s="39">
        <f>L13-L14</f>
        <v/>
      </c>
      <c r="M15" s="39">
        <f>M13-M14</f>
        <v/>
      </c>
      <c r="N15" s="39">
        <f>N13-N14</f>
        <v/>
      </c>
      <c r="O15" s="39">
        <f>O13-O14</f>
        <v/>
      </c>
      <c r="P15" s="39">
        <f>P13-P14</f>
        <v/>
      </c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Q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57" t="inlineStr">
        <is>
          <t>STRATEGIC INITIATIVES — Revenue Growth &amp; Cost Reduction Pipeline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>
      <c r="A4" s="58" t="inlineStr">
        <is>
          <t>REVENUE ENHANCEMENT ($M — annual benefit)</t>
        </is>
      </c>
      <c r="B4" s="59" t="n"/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59" t="n"/>
    </row>
    <row r="5">
      <c r="A5" s="17" t="inlineStr">
        <is>
          <t xml:space="preserve">  Ancillary Services &amp; FCAS Revenue</t>
        </is>
      </c>
      <c r="B5" s="26" t="n">
        <v>0</v>
      </c>
      <c r="C5" s="26" t="n">
        <v>0</v>
      </c>
      <c r="D5" s="26" t="n">
        <v>0</v>
      </c>
      <c r="E5" s="26" t="n">
        <v>0</v>
      </c>
      <c r="F5" s="26" t="n">
        <v>0</v>
      </c>
      <c r="G5" s="39" t="n">
        <v>0</v>
      </c>
      <c r="H5" s="39" t="n">
        <v>3</v>
      </c>
      <c r="I5" s="39" t="n">
        <v>5</v>
      </c>
      <c r="J5" s="39" t="n">
        <v>6</v>
      </c>
      <c r="K5" s="39" t="n">
        <v>7</v>
      </c>
      <c r="L5" s="39" t="n">
        <v>8</v>
      </c>
      <c r="M5" s="39" t="n">
        <v>8</v>
      </c>
      <c r="N5" s="39" t="n">
        <v>8</v>
      </c>
      <c r="O5" s="39" t="n">
        <v>9</v>
      </c>
      <c r="P5" s="39" t="n">
        <v>9</v>
      </c>
    </row>
    <row r="6">
      <c r="A6" s="17" t="inlineStr">
        <is>
          <t xml:space="preserve">  New Connection Pipeline (beyond P004/P007)</t>
        </is>
      </c>
      <c r="B6" s="26" t="n">
        <v>0</v>
      </c>
      <c r="C6" s="26" t="n">
        <v>0</v>
      </c>
      <c r="D6" s="26" t="n">
        <v>0</v>
      </c>
      <c r="E6" s="26" t="n">
        <v>0</v>
      </c>
      <c r="F6" s="26" t="n">
        <v>0</v>
      </c>
      <c r="G6" s="39" t="n">
        <v>0</v>
      </c>
      <c r="H6" s="39" t="n">
        <v>0</v>
      </c>
      <c r="I6" s="39" t="n">
        <v>2</v>
      </c>
      <c r="J6" s="39" t="n">
        <v>3</v>
      </c>
      <c r="K6" s="39" t="n">
        <v>4</v>
      </c>
      <c r="L6" s="39" t="n">
        <v>4</v>
      </c>
      <c r="M6" s="39" t="n">
        <v>5</v>
      </c>
      <c r="N6" s="39" t="n">
        <v>5</v>
      </c>
      <c r="O6" s="39" t="n">
        <v>5</v>
      </c>
      <c r="P6" s="39" t="n">
        <v>6</v>
      </c>
    </row>
    <row r="7">
      <c r="A7" s="17" t="inlineStr">
        <is>
          <t xml:space="preserve">  Tariff Structure &amp; Access Review</t>
        </is>
      </c>
      <c r="B7" s="26" t="n">
        <v>0</v>
      </c>
      <c r="C7" s="26" t="n">
        <v>0</v>
      </c>
      <c r="D7" s="26" t="n">
        <v>0</v>
      </c>
      <c r="E7" s="26" t="n">
        <v>0</v>
      </c>
      <c r="F7" s="26" t="n">
        <v>0</v>
      </c>
      <c r="G7" s="39" t="n">
        <v>0</v>
      </c>
      <c r="H7" s="39" t="n">
        <v>0</v>
      </c>
      <c r="I7" s="39" t="n">
        <v>0</v>
      </c>
      <c r="J7" s="39" t="n">
        <v>4</v>
      </c>
      <c r="K7" s="39" t="n">
        <v>5</v>
      </c>
      <c r="L7" s="39" t="n">
        <v>5</v>
      </c>
      <c r="M7" s="39" t="n">
        <v>5</v>
      </c>
      <c r="N7" s="39" t="n">
        <v>6</v>
      </c>
      <c r="O7" s="39" t="n">
        <v>6</v>
      </c>
      <c r="P7" s="39" t="n">
        <v>6</v>
      </c>
    </row>
    <row r="8">
      <c r="A8" s="17" t="inlineStr">
        <is>
          <t xml:space="preserve">  TOTAL REV INITIATIVES</t>
        </is>
      </c>
      <c r="B8" s="44">
        <f>B5+B6+B7</f>
        <v/>
      </c>
      <c r="C8" s="44">
        <f>C5+C6+C7</f>
        <v/>
      </c>
      <c r="D8" s="44">
        <f>D5+D6+D7</f>
        <v/>
      </c>
      <c r="E8" s="44">
        <f>E5+E6+E7</f>
        <v/>
      </c>
      <c r="F8" s="44">
        <f>F5+F6+F7</f>
        <v/>
      </c>
      <c r="G8" s="44">
        <f>G5+G6+G7</f>
        <v/>
      </c>
      <c r="H8" s="44">
        <f>H5+H6+H7</f>
        <v/>
      </c>
      <c r="I8" s="44">
        <f>I5+I6+I7</f>
        <v/>
      </c>
      <c r="J8" s="44">
        <f>J5+J6+J7</f>
        <v/>
      </c>
      <c r="K8" s="44">
        <f>K5+K6+K7</f>
        <v/>
      </c>
      <c r="L8" s="44">
        <f>L5+L6+L7</f>
        <v/>
      </c>
      <c r="M8" s="44">
        <f>M5+M6+M7</f>
        <v/>
      </c>
      <c r="N8" s="44">
        <f>N5+N6+N7</f>
        <v/>
      </c>
      <c r="O8" s="44">
        <f>O5+O6+O7</f>
        <v/>
      </c>
      <c r="P8" s="44">
        <f>P5+P6+P7</f>
        <v/>
      </c>
    </row>
    <row r="9">
      <c r="A9" s="45" t="inlineStr">
        <is>
          <t xml:space="preserve">  → Added to IS Revenue (above base MAR)</t>
        </is>
      </c>
    </row>
    <row r="10">
      <c r="A10" s="58" t="inlineStr">
        <is>
          <t>OPEX REDUCTION INITIATIVES ($M — annual saving)</t>
        </is>
      </c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</row>
    <row r="11">
      <c r="A11" s="17" t="inlineStr">
        <is>
          <t xml:space="preserve">  Procurement &amp; Supply Chain Savings</t>
        </is>
      </c>
      <c r="B11" s="26" t="n">
        <v>0</v>
      </c>
      <c r="C11" s="26" t="n">
        <v>0</v>
      </c>
      <c r="D11" s="26" t="n">
        <v>0</v>
      </c>
      <c r="E11" s="26" t="n">
        <v>0</v>
      </c>
      <c r="F11" s="26" t="n">
        <v>0</v>
      </c>
      <c r="G11" s="39" t="n">
        <v>0</v>
      </c>
      <c r="H11" s="39" t="n">
        <v>2</v>
      </c>
      <c r="I11" s="39" t="n">
        <v>3</v>
      </c>
      <c r="J11" s="39" t="n">
        <v>4</v>
      </c>
      <c r="K11" s="39" t="n">
        <v>5</v>
      </c>
      <c r="L11" s="39" t="n">
        <v>6</v>
      </c>
      <c r="M11" s="39" t="n">
        <v>6</v>
      </c>
      <c r="N11" s="39" t="n">
        <v>7</v>
      </c>
      <c r="O11" s="39" t="n">
        <v>7</v>
      </c>
      <c r="P11" s="39" t="n">
        <v>7</v>
      </c>
    </row>
    <row r="12">
      <c r="A12" s="17" t="inlineStr">
        <is>
          <t xml:space="preserve">  Digital Automation &amp; Predictive Maintenance</t>
        </is>
      </c>
      <c r="B12" s="26" t="n">
        <v>0</v>
      </c>
      <c r="C12" s="26" t="n">
        <v>0</v>
      </c>
      <c r="D12" s="26" t="n">
        <v>0</v>
      </c>
      <c r="E12" s="26" t="n">
        <v>0</v>
      </c>
      <c r="F12" s="26" t="n">
        <v>0</v>
      </c>
      <c r="G12" s="39" t="n">
        <v>0</v>
      </c>
      <c r="H12" s="39" t="n">
        <v>0</v>
      </c>
      <c r="I12" s="39" t="n">
        <v>1</v>
      </c>
      <c r="J12" s="39" t="n">
        <v>2</v>
      </c>
      <c r="K12" s="39" t="n">
        <v>3</v>
      </c>
      <c r="L12" s="39" t="n">
        <v>3</v>
      </c>
      <c r="M12" s="39" t="n">
        <v>4</v>
      </c>
      <c r="N12" s="39" t="n">
        <v>4</v>
      </c>
      <c r="O12" s="39" t="n">
        <v>5</v>
      </c>
      <c r="P12" s="39" t="n">
        <v>5</v>
      </c>
    </row>
    <row r="13">
      <c r="A13" s="17" t="inlineStr">
        <is>
          <t xml:space="preserve">  Energy Efficiency &amp; Fleet Electrification</t>
        </is>
      </c>
      <c r="B13" s="26" t="n">
        <v>0</v>
      </c>
      <c r="C13" s="26" t="n">
        <v>0</v>
      </c>
      <c r="D13" s="26" t="n">
        <v>0</v>
      </c>
      <c r="E13" s="26" t="n">
        <v>0</v>
      </c>
      <c r="F13" s="26" t="n">
        <v>0</v>
      </c>
      <c r="G13" s="39" t="n">
        <v>0</v>
      </c>
      <c r="H13" s="39" t="n">
        <v>1</v>
      </c>
      <c r="I13" s="39" t="n">
        <v>1</v>
      </c>
      <c r="J13" s="39" t="n">
        <v>2</v>
      </c>
      <c r="K13" s="39" t="n">
        <v>2</v>
      </c>
      <c r="L13" s="39" t="n">
        <v>2</v>
      </c>
      <c r="M13" s="39" t="n">
        <v>2</v>
      </c>
      <c r="N13" s="39" t="n">
        <v>2</v>
      </c>
      <c r="O13" s="39" t="n">
        <v>2</v>
      </c>
      <c r="P13" s="39" t="n">
        <v>2</v>
      </c>
    </row>
    <row r="14">
      <c r="A14" s="17" t="inlineStr">
        <is>
          <t xml:space="preserve">  TOTAL OPEX INITIATIVES</t>
        </is>
      </c>
      <c r="B14" s="44">
        <f>B11+B12+B13</f>
        <v/>
      </c>
      <c r="C14" s="44">
        <f>C11+C12+C13</f>
        <v/>
      </c>
      <c r="D14" s="44">
        <f>D11+D12+D13</f>
        <v/>
      </c>
      <c r="E14" s="44">
        <f>E11+E12+E13</f>
        <v/>
      </c>
      <c r="F14" s="44">
        <f>F11+F12+F13</f>
        <v/>
      </c>
      <c r="G14" s="44">
        <f>G11+G12+G13</f>
        <v/>
      </c>
      <c r="H14" s="44">
        <f>H11+H12+H13</f>
        <v/>
      </c>
      <c r="I14" s="44">
        <f>I11+I12+I13</f>
        <v/>
      </c>
      <c r="J14" s="44">
        <f>J11+J12+J13</f>
        <v/>
      </c>
      <c r="K14" s="44">
        <f>K11+K12+K13</f>
        <v/>
      </c>
      <c r="L14" s="44">
        <f>L11+L12+L13</f>
        <v/>
      </c>
      <c r="M14" s="44">
        <f>M11+M12+M13</f>
        <v/>
      </c>
      <c r="N14" s="44">
        <f>N11+N12+N13</f>
        <v/>
      </c>
      <c r="O14" s="44">
        <f>O11+O12+O13</f>
        <v/>
      </c>
      <c r="P14" s="44">
        <f>P11+P12+P13</f>
        <v/>
      </c>
    </row>
    <row r="15">
      <c r="A15" s="45" t="inlineStr">
        <is>
          <t xml:space="preserve">  → Reduces IS Total Opex</t>
        </is>
      </c>
    </row>
    <row r="16">
      <c r="A16" s="58" t="inlineStr">
        <is>
          <t>FINANCE COST REDUCTION ($M — annual saving)</t>
        </is>
      </c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A17" s="17" t="inlineStr">
        <is>
          <t xml:space="preserve">  Debt Refinancing — Lower Benchmark Rate</t>
        </is>
      </c>
      <c r="B17" s="26" t="n">
        <v>0</v>
      </c>
      <c r="C17" s="26" t="n">
        <v>0</v>
      </c>
      <c r="D17" s="26" t="n">
        <v>0</v>
      </c>
      <c r="E17" s="26" t="n">
        <v>0</v>
      </c>
      <c r="F17" s="26" t="n">
        <v>0</v>
      </c>
      <c r="G17" s="39" t="n">
        <v>0</v>
      </c>
      <c r="H17" s="39" t="n">
        <v>4</v>
      </c>
      <c r="I17" s="39" t="n">
        <v>5</v>
      </c>
      <c r="J17" s="39" t="n">
        <v>6</v>
      </c>
      <c r="K17" s="39" t="n">
        <v>7</v>
      </c>
      <c r="L17" s="39" t="n">
        <v>8</v>
      </c>
      <c r="M17" s="39" t="n">
        <v>8</v>
      </c>
      <c r="N17" s="39" t="n">
        <v>9</v>
      </c>
      <c r="O17" s="39" t="n">
        <v>9</v>
      </c>
      <c r="P17" s="39" t="n">
        <v>10</v>
      </c>
    </row>
    <row r="18">
      <c r="A18" s="17" t="inlineStr">
        <is>
          <t xml:space="preserve">  Interest Rate Hedging Programme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39" t="n">
        <v>0</v>
      </c>
      <c r="H18" s="39" t="n">
        <v>0</v>
      </c>
      <c r="I18" s="39" t="n">
        <v>2</v>
      </c>
      <c r="J18" s="39" t="n">
        <v>2</v>
      </c>
      <c r="K18" s="39" t="n">
        <v>3</v>
      </c>
      <c r="L18" s="39" t="n">
        <v>3</v>
      </c>
      <c r="M18" s="39" t="n">
        <v>3</v>
      </c>
      <c r="N18" s="39" t="n">
        <v>3</v>
      </c>
      <c r="O18" s="39" t="n">
        <v>3</v>
      </c>
      <c r="P18" s="39" t="n">
        <v>3</v>
      </c>
    </row>
    <row r="19">
      <c r="A19" s="17" t="inlineStr">
        <is>
          <t xml:space="preserve">  TOTAL FIN INITIATIVES</t>
        </is>
      </c>
      <c r="B19" s="44">
        <f>B17+B18</f>
        <v/>
      </c>
      <c r="C19" s="44">
        <f>C17+C18</f>
        <v/>
      </c>
      <c r="D19" s="44">
        <f>D17+D18</f>
        <v/>
      </c>
      <c r="E19" s="44">
        <f>E17+E18</f>
        <v/>
      </c>
      <c r="F19" s="44">
        <f>F17+F18</f>
        <v/>
      </c>
      <c r="G19" s="44">
        <f>G17+G18</f>
        <v/>
      </c>
      <c r="H19" s="44">
        <f>H17+H18</f>
        <v/>
      </c>
      <c r="I19" s="44">
        <f>I17+I18</f>
        <v/>
      </c>
      <c r="J19" s="44">
        <f>J17+J18</f>
        <v/>
      </c>
      <c r="K19" s="44">
        <f>K17+K18</f>
        <v/>
      </c>
      <c r="L19" s="44">
        <f>L17+L18</f>
        <v/>
      </c>
      <c r="M19" s="44">
        <f>M17+M18</f>
        <v/>
      </c>
      <c r="N19" s="44">
        <f>N17+N18</f>
        <v/>
      </c>
      <c r="O19" s="44">
        <f>O17+O18</f>
        <v/>
      </c>
      <c r="P19" s="44">
        <f>P17+P18</f>
        <v/>
      </c>
    </row>
    <row r="20">
      <c r="A20" s="45" t="inlineStr">
        <is>
          <t xml:space="preserve">  → Reduces IS Interest Expense</t>
        </is>
      </c>
    </row>
    <row r="21">
      <c r="A21" s="58" t="inlineStr">
        <is>
          <t>DEPRECIATION REDUCTION ($M — annual saving)</t>
        </is>
      </c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A22" s="17" t="inlineStr">
        <is>
          <t xml:space="preserve">  Asset Life Extension Review (regulatory approved)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39" t="n">
        <v>0</v>
      </c>
      <c r="H22" s="39" t="n">
        <v>3</v>
      </c>
      <c r="I22" s="39" t="n">
        <v>4</v>
      </c>
      <c r="J22" s="39" t="n">
        <v>5</v>
      </c>
      <c r="K22" s="39" t="n">
        <v>5</v>
      </c>
      <c r="L22" s="39" t="n">
        <v>5</v>
      </c>
      <c r="M22" s="39" t="n">
        <v>5</v>
      </c>
      <c r="N22" s="39" t="n">
        <v>6</v>
      </c>
      <c r="O22" s="39" t="n">
        <v>6</v>
      </c>
      <c r="P22" s="39" t="n">
        <v>6</v>
      </c>
    </row>
    <row r="23">
      <c r="A23" s="17" t="inlineStr">
        <is>
          <t xml:space="preserve">  Targeted Asset Disposal &amp; Write-Off</t>
        </is>
      </c>
      <c r="B23" s="26" t="n">
        <v>0</v>
      </c>
      <c r="C23" s="26" t="n">
        <v>0</v>
      </c>
      <c r="D23" s="26" t="n">
        <v>0</v>
      </c>
      <c r="E23" s="26" t="n">
        <v>0</v>
      </c>
      <c r="F23" s="26" t="n">
        <v>0</v>
      </c>
      <c r="G23" s="39" t="n">
        <v>0</v>
      </c>
      <c r="H23" s="39" t="n">
        <v>0</v>
      </c>
      <c r="I23" s="39" t="n">
        <v>2</v>
      </c>
      <c r="J23" s="39" t="n">
        <v>2</v>
      </c>
      <c r="K23" s="39" t="n">
        <v>2</v>
      </c>
      <c r="L23" s="39" t="n">
        <v>2</v>
      </c>
      <c r="M23" s="39" t="n">
        <v>2</v>
      </c>
      <c r="N23" s="39" t="n">
        <v>2</v>
      </c>
      <c r="O23" s="39" t="n">
        <v>2</v>
      </c>
      <c r="P23" s="39" t="n">
        <v>2</v>
      </c>
    </row>
    <row r="24">
      <c r="A24" s="17" t="inlineStr">
        <is>
          <t xml:space="preserve">  TOTAL DEP INITIATIVES</t>
        </is>
      </c>
      <c r="B24" s="44">
        <f>B22+B23</f>
        <v/>
      </c>
      <c r="C24" s="44">
        <f>C22+C23</f>
        <v/>
      </c>
      <c r="D24" s="44">
        <f>D22+D23</f>
        <v/>
      </c>
      <c r="E24" s="44">
        <f>E22+E23</f>
        <v/>
      </c>
      <c r="F24" s="44">
        <f>F22+F23</f>
        <v/>
      </c>
      <c r="G24" s="44">
        <f>G22+G23</f>
        <v/>
      </c>
      <c r="H24" s="44">
        <f>H22+H23</f>
        <v/>
      </c>
      <c r="I24" s="44">
        <f>I22+I23</f>
        <v/>
      </c>
      <c r="J24" s="44">
        <f>J22+J23</f>
        <v/>
      </c>
      <c r="K24" s="44">
        <f>K22+K23</f>
        <v/>
      </c>
      <c r="L24" s="44">
        <f>L22+L23</f>
        <v/>
      </c>
      <c r="M24" s="44">
        <f>M22+M23</f>
        <v/>
      </c>
      <c r="N24" s="44">
        <f>N22+N23</f>
        <v/>
      </c>
      <c r="O24" s="44">
        <f>O22+O23</f>
        <v/>
      </c>
      <c r="P24" s="44">
        <f>P22+P23</f>
        <v/>
      </c>
    </row>
    <row r="25">
      <c r="A25" s="45" t="inlineStr">
        <is>
          <t xml:space="preserve">  → Reduces IS D&amp;A Charge</t>
        </is>
      </c>
    </row>
    <row r="26" ht="16" customHeight="1">
      <c r="A26" s="15" t="inlineStr">
        <is>
          <t>NET INITIATIVE VALUE — ANNUAL IMPACT ON NET INCOME ($M)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</row>
    <row r="27">
      <c r="A27" s="17" t="inlineStr">
        <is>
          <t xml:space="preserve">  Net Annual Value (Rev + Opex + Finance + D&amp;A savings, pre-tax)</t>
        </is>
      </c>
      <c r="B27" s="44">
        <f>B8+B14+B19+B24</f>
        <v/>
      </c>
      <c r="C27" s="44">
        <f>C8+C14+C19+C24</f>
        <v/>
      </c>
      <c r="D27" s="44">
        <f>D8+D14+D19+D24</f>
        <v/>
      </c>
      <c r="E27" s="44">
        <f>E8+E14+E19+E24</f>
        <v/>
      </c>
      <c r="F27" s="44">
        <f>F8+F14+F19+F24</f>
        <v/>
      </c>
      <c r="G27" s="44">
        <f>G8+G14+G19+G24</f>
        <v/>
      </c>
      <c r="H27" s="44">
        <f>H8+H14+H19+H24</f>
        <v/>
      </c>
      <c r="I27" s="44">
        <f>I8+I14+I19+I24</f>
        <v/>
      </c>
      <c r="J27" s="44">
        <f>J8+J14+J19+J24</f>
        <v/>
      </c>
      <c r="K27" s="44">
        <f>K8+K14+K19+K24</f>
        <v/>
      </c>
      <c r="L27" s="44">
        <f>L8+L14+L19+L24</f>
        <v/>
      </c>
      <c r="M27" s="44">
        <f>M8+M14+M19+M24</f>
        <v/>
      </c>
      <c r="N27" s="44">
        <f>N8+N14+N19+N24</f>
        <v/>
      </c>
      <c r="O27" s="44">
        <f>O8+O14+O19+O24</f>
        <v/>
      </c>
      <c r="P27" s="44">
        <f>P8+P14+P19+P24</f>
        <v/>
      </c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Q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11" t="inlineStr">
        <is>
          <t>INCOME STATEMENT — Electricity Grid Transmission Utility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Revenue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Transmission Revenue</t>
        </is>
      </c>
      <c r="B5" s="26" t="n">
        <v>597</v>
      </c>
      <c r="C5" s="26" t="n">
        <v>622.5</v>
      </c>
      <c r="D5" s="26" t="n">
        <v>659</v>
      </c>
      <c r="E5" s="26" t="n">
        <v>679.5</v>
      </c>
      <c r="F5" s="26" t="n">
        <v>723</v>
      </c>
      <c r="G5" s="39">
        <f>PTRM!G9-G6+Initiatives!G8</f>
        <v/>
      </c>
      <c r="H5" s="39">
        <f>PTRM!H9-H6+Initiatives!H8</f>
        <v/>
      </c>
      <c r="I5" s="39">
        <f>PTRM!I9-I6+Initiatives!I8</f>
        <v/>
      </c>
      <c r="J5" s="39">
        <f>PTRM!J9-J6+Initiatives!J8</f>
        <v/>
      </c>
      <c r="K5" s="39">
        <f>PTRM!K9-K6+Initiatives!K8</f>
        <v/>
      </c>
      <c r="L5" s="39">
        <f>PTRM!L9-L6+Initiatives!L8</f>
        <v/>
      </c>
      <c r="M5" s="39">
        <f>PTRM!M9-M6+Initiatives!M8</f>
        <v/>
      </c>
      <c r="N5" s="39">
        <f>PTRM!N9-N6+Initiatives!N8</f>
        <v/>
      </c>
      <c r="O5" s="39">
        <f>PTRM!O9-O6+Initiatives!O8</f>
        <v/>
      </c>
      <c r="P5" s="39">
        <f>PTRM!P9-P6+Initiatives!P8</f>
        <v/>
      </c>
    </row>
    <row r="6">
      <c r="A6" s="17" t="inlineStr">
        <is>
          <t xml:space="preserve">  Connection &amp; Access Fees</t>
        </is>
      </c>
      <c r="B6" s="26" t="n">
        <v>6</v>
      </c>
      <c r="C6" s="26" t="n">
        <v>6.5</v>
      </c>
      <c r="D6" s="26" t="n">
        <v>7</v>
      </c>
      <c r="E6" s="26" t="n">
        <v>7.5</v>
      </c>
      <c r="F6" s="26" t="n">
        <v>8</v>
      </c>
      <c r="G6" s="39">
        <f>Assumptions!G20</f>
        <v/>
      </c>
      <c r="H6" s="39">
        <f>Assumptions!H20</f>
        <v/>
      </c>
      <c r="I6" s="39">
        <f>Assumptions!I20</f>
        <v/>
      </c>
      <c r="J6" s="39">
        <f>Assumptions!J20</f>
        <v/>
      </c>
      <c r="K6" s="39">
        <f>Assumptions!K20</f>
        <v/>
      </c>
      <c r="L6" s="39">
        <f>Assumptions!L20</f>
        <v/>
      </c>
      <c r="M6" s="39">
        <f>Assumptions!M20</f>
        <v/>
      </c>
      <c r="N6" s="39">
        <f>Assumptions!N20</f>
        <v/>
      </c>
      <c r="O6" s="39">
        <f>Assumptions!O20</f>
        <v/>
      </c>
      <c r="P6" s="39">
        <f>Assumptions!P20</f>
        <v/>
      </c>
    </row>
    <row r="7">
      <c r="A7" s="17" t="inlineStr">
        <is>
          <t xml:space="preserve">  Total Revenue</t>
        </is>
      </c>
      <c r="B7" s="43" t="n">
        <v>603</v>
      </c>
      <c r="C7" s="43" t="n">
        <v>629</v>
      </c>
      <c r="D7" s="43" t="n">
        <v>666</v>
      </c>
      <c r="E7" s="43" t="n">
        <v>687</v>
      </c>
      <c r="F7" s="43" t="n">
        <v>731</v>
      </c>
      <c r="G7" s="46">
        <f>PTRM!G9+Initiatives!G8</f>
        <v/>
      </c>
      <c r="H7" s="46">
        <f>PTRM!H9+Initiatives!H8</f>
        <v/>
      </c>
      <c r="I7" s="46">
        <f>PTRM!I9+Initiatives!I8</f>
        <v/>
      </c>
      <c r="J7" s="46">
        <f>PTRM!J9+Initiatives!J8</f>
        <v/>
      </c>
      <c r="K7" s="46">
        <f>PTRM!K9+Initiatives!K8</f>
        <v/>
      </c>
      <c r="L7" s="46">
        <f>PTRM!L9+Initiatives!L8</f>
        <v/>
      </c>
      <c r="M7" s="46">
        <f>PTRM!M9+Initiatives!M8</f>
        <v/>
      </c>
      <c r="N7" s="46">
        <f>PTRM!N9+Initiatives!N8</f>
        <v/>
      </c>
      <c r="O7" s="46">
        <f>PTRM!O9+Initiatives!O8</f>
        <v/>
      </c>
      <c r="P7" s="46">
        <f>PTRM!P9+Initiatives!P8</f>
        <v/>
      </c>
    </row>
    <row r="9" ht="16" customHeight="1">
      <c r="A9" s="15" t="inlineStr">
        <is>
          <t>Operating Expenditure ($M)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>
      <c r="A10" s="17" t="inlineStr">
        <is>
          <t xml:space="preserve">  Network O&amp;M</t>
        </is>
      </c>
      <c r="B10" s="26" t="n">
        <v>89</v>
      </c>
      <c r="C10" s="26" t="n">
        <v>92</v>
      </c>
      <c r="D10" s="26" t="n">
        <v>95</v>
      </c>
      <c r="E10" s="26" t="n">
        <v>97</v>
      </c>
      <c r="F10" s="26" t="n">
        <v>100</v>
      </c>
      <c r="G10" s="39">
        <f>REFM!G5</f>
        <v/>
      </c>
      <c r="H10" s="39">
        <f>REFM!H5</f>
        <v/>
      </c>
      <c r="I10" s="39">
        <f>REFM!I5</f>
        <v/>
      </c>
      <c r="J10" s="39">
        <f>REFM!J5</f>
        <v/>
      </c>
      <c r="K10" s="39">
        <f>REFM!K5</f>
        <v/>
      </c>
      <c r="L10" s="39">
        <f>REFM!L5</f>
        <v/>
      </c>
      <c r="M10" s="39">
        <f>REFM!M5</f>
        <v/>
      </c>
      <c r="N10" s="39">
        <f>REFM!N5</f>
        <v/>
      </c>
      <c r="O10" s="39">
        <f>REFM!O5</f>
        <v/>
      </c>
      <c r="P10" s="39">
        <f>REFM!P5</f>
        <v/>
      </c>
    </row>
    <row r="11">
      <c r="A11" s="17" t="inlineStr">
        <is>
          <t xml:space="preserve">  Corporate</t>
        </is>
      </c>
      <c r="B11" s="26" t="n">
        <v>52</v>
      </c>
      <c r="C11" s="26" t="n">
        <v>53</v>
      </c>
      <c r="D11" s="26" t="n">
        <v>54</v>
      </c>
      <c r="E11" s="26" t="n">
        <v>56</v>
      </c>
      <c r="F11" s="26" t="n">
        <v>57</v>
      </c>
      <c r="G11" s="39">
        <f>REFM!G6</f>
        <v/>
      </c>
      <c r="H11" s="39">
        <f>REFM!H6</f>
        <v/>
      </c>
      <c r="I11" s="39">
        <f>REFM!I6</f>
        <v/>
      </c>
      <c r="J11" s="39">
        <f>REFM!J6</f>
        <v/>
      </c>
      <c r="K11" s="39">
        <f>REFM!K6</f>
        <v/>
      </c>
      <c r="L11" s="39">
        <f>REFM!L6</f>
        <v/>
      </c>
      <c r="M11" s="39">
        <f>REFM!M6</f>
        <v/>
      </c>
      <c r="N11" s="39">
        <f>REFM!N6</f>
        <v/>
      </c>
      <c r="O11" s="39">
        <f>REFM!O6</f>
        <v/>
      </c>
      <c r="P11" s="39">
        <f>REFM!P6</f>
        <v/>
      </c>
    </row>
    <row r="12">
      <c r="A12" s="17" t="inlineStr">
        <is>
          <t xml:space="preserve">  Insurance</t>
        </is>
      </c>
      <c r="B12" s="26" t="n">
        <v>18</v>
      </c>
      <c r="C12" s="26" t="n">
        <v>18</v>
      </c>
      <c r="D12" s="26" t="n">
        <v>18</v>
      </c>
      <c r="E12" s="26" t="n">
        <v>19</v>
      </c>
      <c r="F12" s="26" t="n">
        <v>19</v>
      </c>
      <c r="G12" s="39">
        <f>REFM!G7</f>
        <v/>
      </c>
      <c r="H12" s="39">
        <f>REFM!H7</f>
        <v/>
      </c>
      <c r="I12" s="39">
        <f>REFM!I7</f>
        <v/>
      </c>
      <c r="J12" s="39">
        <f>REFM!J7</f>
        <v/>
      </c>
      <c r="K12" s="39">
        <f>REFM!K7</f>
        <v/>
      </c>
      <c r="L12" s="39">
        <f>REFM!L7</f>
        <v/>
      </c>
      <c r="M12" s="39">
        <f>REFM!M7</f>
        <v/>
      </c>
      <c r="N12" s="39">
        <f>REFM!N7</f>
        <v/>
      </c>
      <c r="O12" s="39">
        <f>REFM!O7</f>
        <v/>
      </c>
      <c r="P12" s="39">
        <f>REFM!P7</f>
        <v/>
      </c>
    </row>
    <row r="13">
      <c r="A13" s="17" t="inlineStr">
        <is>
          <t xml:space="preserve">  Regulatory</t>
        </is>
      </c>
      <c r="B13" s="26" t="n">
        <v>9</v>
      </c>
      <c r="C13" s="26" t="n">
        <v>9</v>
      </c>
      <c r="D13" s="26" t="n">
        <v>9</v>
      </c>
      <c r="E13" s="26" t="n">
        <v>9</v>
      </c>
      <c r="F13" s="26" t="n">
        <v>9</v>
      </c>
      <c r="G13" s="39">
        <f>REFM!G8</f>
        <v/>
      </c>
      <c r="H13" s="39">
        <f>REFM!H8</f>
        <v/>
      </c>
      <c r="I13" s="39">
        <f>REFM!I8</f>
        <v/>
      </c>
      <c r="J13" s="39">
        <f>REFM!J8</f>
        <v/>
      </c>
      <c r="K13" s="39">
        <f>REFM!K8</f>
        <v/>
      </c>
      <c r="L13" s="39">
        <f>REFM!L8</f>
        <v/>
      </c>
      <c r="M13" s="39">
        <f>REFM!M8</f>
        <v/>
      </c>
      <c r="N13" s="39">
        <f>REFM!N8</f>
        <v/>
      </c>
      <c r="O13" s="39">
        <f>REFM!O8</f>
        <v/>
      </c>
      <c r="P13" s="39">
        <f>REFM!P8</f>
        <v/>
      </c>
    </row>
    <row r="14">
      <c r="A14" s="17" t="inlineStr">
        <is>
          <t xml:space="preserve">  Total Opex</t>
        </is>
      </c>
      <c r="B14" s="43" t="n">
        <v>168</v>
      </c>
      <c r="C14" s="43" t="n">
        <v>172</v>
      </c>
      <c r="D14" s="43" t="n">
        <v>176</v>
      </c>
      <c r="E14" s="43" t="n">
        <v>181</v>
      </c>
      <c r="F14" s="43" t="n">
        <v>185</v>
      </c>
      <c r="G14" s="46">
        <f>SUM(G10:G13)-Initiatives!G14</f>
        <v/>
      </c>
      <c r="H14" s="46">
        <f>SUM(H10:H13)-Initiatives!H14</f>
        <v/>
      </c>
      <c r="I14" s="46">
        <f>SUM(I10:I13)-Initiatives!I14</f>
        <v/>
      </c>
      <c r="J14" s="46">
        <f>SUM(J10:J13)-Initiatives!J14</f>
        <v/>
      </c>
      <c r="K14" s="46">
        <f>SUM(K10:K13)-Initiatives!K14</f>
        <v/>
      </c>
      <c r="L14" s="46">
        <f>SUM(L10:L13)-Initiatives!L14</f>
        <v/>
      </c>
      <c r="M14" s="46">
        <f>SUM(M10:M13)-Initiatives!M14</f>
        <v/>
      </c>
      <c r="N14" s="46">
        <f>SUM(N10:N13)-Initiatives!N14</f>
        <v/>
      </c>
      <c r="O14" s="46">
        <f>SUM(O10:O13)-Initiatives!O14</f>
        <v/>
      </c>
      <c r="P14" s="46">
        <f>SUM(P10:P13)-Initiatives!P14</f>
        <v/>
      </c>
    </row>
    <row r="16">
      <c r="A16" s="17" t="inlineStr">
        <is>
          <t>EBITDA</t>
        </is>
      </c>
      <c r="B16" s="43" t="n">
        <v>435</v>
      </c>
      <c r="C16" s="43" t="n">
        <v>457</v>
      </c>
      <c r="D16" s="43" t="n">
        <v>490</v>
      </c>
      <c r="E16" s="43" t="n">
        <v>506</v>
      </c>
      <c r="F16" s="43" t="n">
        <v>546</v>
      </c>
      <c r="G16" s="44">
        <f>G7-G14</f>
        <v/>
      </c>
      <c r="H16" s="44">
        <f>H7-H14</f>
        <v/>
      </c>
      <c r="I16" s="44">
        <f>I7-I14</f>
        <v/>
      </c>
      <c r="J16" s="44">
        <f>J7-J14</f>
        <v/>
      </c>
      <c r="K16" s="44">
        <f>K7-K14</f>
        <v/>
      </c>
      <c r="L16" s="44">
        <f>L7-L14</f>
        <v/>
      </c>
      <c r="M16" s="44">
        <f>M7-M14</f>
        <v/>
      </c>
      <c r="N16" s="44">
        <f>N7-N14</f>
        <v/>
      </c>
      <c r="O16" s="44">
        <f>O7-O14</f>
        <v/>
      </c>
      <c r="P16" s="44">
        <f>P7-P14</f>
        <v/>
      </c>
    </row>
    <row r="18">
      <c r="A18" s="17" t="inlineStr">
        <is>
          <t xml:space="preserve">  Depreciation &amp; Amortisation</t>
        </is>
      </c>
      <c r="B18" s="26" t="n">
        <v>230.9</v>
      </c>
      <c r="C18" s="26" t="n">
        <v>239.6</v>
      </c>
      <c r="D18" s="26" t="n">
        <v>249</v>
      </c>
      <c r="E18" s="26" t="n">
        <v>259.1</v>
      </c>
      <c r="F18" s="26" t="n">
        <v>270</v>
      </c>
      <c r="G18" s="39">
        <f>'Fixed Assets'!G50-Initiatives!G24</f>
        <v/>
      </c>
      <c r="H18" s="39">
        <f>'Fixed Assets'!H50-Initiatives!H24</f>
        <v/>
      </c>
      <c r="I18" s="39">
        <f>'Fixed Assets'!I50-Initiatives!I24</f>
        <v/>
      </c>
      <c r="J18" s="39">
        <f>'Fixed Assets'!J50-Initiatives!J24</f>
        <v/>
      </c>
      <c r="K18" s="39">
        <f>'Fixed Assets'!K50-Initiatives!K24</f>
        <v/>
      </c>
      <c r="L18" s="39">
        <f>'Fixed Assets'!L50-Initiatives!L24</f>
        <v/>
      </c>
      <c r="M18" s="39">
        <f>'Fixed Assets'!M50-Initiatives!M24</f>
        <v/>
      </c>
      <c r="N18" s="39">
        <f>'Fixed Assets'!N50-Initiatives!N24</f>
        <v/>
      </c>
      <c r="O18" s="39">
        <f>'Fixed Assets'!O50-Initiatives!O24</f>
        <v/>
      </c>
      <c r="P18" s="39">
        <f>'Fixed Assets'!P50-Initiatives!P24</f>
        <v/>
      </c>
    </row>
    <row r="20">
      <c r="A20" s="17" t="inlineStr">
        <is>
          <t>EBIT</t>
        </is>
      </c>
      <c r="B20" s="43" t="n">
        <v>204.1</v>
      </c>
      <c r="C20" s="43" t="n">
        <v>217.4</v>
      </c>
      <c r="D20" s="43" t="n">
        <v>241</v>
      </c>
      <c r="E20" s="43" t="n">
        <v>246.9</v>
      </c>
      <c r="F20" s="43" t="n">
        <v>276</v>
      </c>
      <c r="G20" s="44">
        <f>G16-G18</f>
        <v/>
      </c>
      <c r="H20" s="44">
        <f>H16-H18</f>
        <v/>
      </c>
      <c r="I20" s="44">
        <f>I16-I18</f>
        <v/>
      </c>
      <c r="J20" s="44">
        <f>J16-J18</f>
        <v/>
      </c>
      <c r="K20" s="44">
        <f>K16-K18</f>
        <v/>
      </c>
      <c r="L20" s="44">
        <f>L16-L18</f>
        <v/>
      </c>
      <c r="M20" s="44">
        <f>M16-M18</f>
        <v/>
      </c>
      <c r="N20" s="44">
        <f>N16-N18</f>
        <v/>
      </c>
      <c r="O20" s="44">
        <f>O16-O18</f>
        <v/>
      </c>
      <c r="P20" s="44">
        <f>P16-P18</f>
        <v/>
      </c>
    </row>
    <row r="22">
      <c r="A22" s="17" t="inlineStr">
        <is>
          <t xml:space="preserve">  Interest Expense</t>
        </is>
      </c>
      <c r="B22" s="26" t="n">
        <v>192.5</v>
      </c>
      <c r="C22" s="26" t="n">
        <v>195.8</v>
      </c>
      <c r="D22" s="26" t="n">
        <v>199.4</v>
      </c>
      <c r="E22" s="26" t="n">
        <v>203.2</v>
      </c>
      <c r="F22" s="26" t="n">
        <v>207.6</v>
      </c>
      <c r="G22" s="39">
        <f>'Balance Sheet'!F20*Assumptions!$B$46-Initiatives!G19</f>
        <v/>
      </c>
      <c r="H22" s="39">
        <f>'Balance Sheet'!G20*Assumptions!$B$46-Initiatives!H19</f>
        <v/>
      </c>
      <c r="I22" s="39">
        <f>'Balance Sheet'!H20*Assumptions!$B$46-Initiatives!I19</f>
        <v/>
      </c>
      <c r="J22" s="39">
        <f>'Balance Sheet'!I20*Assumptions!$B$46-Initiatives!J19</f>
        <v/>
      </c>
      <c r="K22" s="39">
        <f>'Balance Sheet'!J20*Assumptions!$B$46-Initiatives!K19</f>
        <v/>
      </c>
      <c r="L22" s="39">
        <f>'Balance Sheet'!K20*Assumptions!$B$46-Initiatives!L19</f>
        <v/>
      </c>
      <c r="M22" s="39">
        <f>'Balance Sheet'!L20*Assumptions!$B$46-Initiatives!M19</f>
        <v/>
      </c>
      <c r="N22" s="39">
        <f>'Balance Sheet'!M20*Assumptions!$B$46-Initiatives!N19</f>
        <v/>
      </c>
      <c r="O22" s="39">
        <f>'Balance Sheet'!N20*Assumptions!$B$46-Initiatives!O19</f>
        <v/>
      </c>
      <c r="P22" s="39">
        <f>'Balance Sheet'!O20*Assumptions!$B$46-Initiatives!P19</f>
        <v/>
      </c>
    </row>
    <row r="24">
      <c r="A24" s="17" t="inlineStr">
        <is>
          <t>EBT</t>
        </is>
      </c>
      <c r="B24" s="43" t="n">
        <v>11.6</v>
      </c>
      <c r="C24" s="43" t="n">
        <v>21.6</v>
      </c>
      <c r="D24" s="43" t="n">
        <v>41.6</v>
      </c>
      <c r="E24" s="43" t="n">
        <v>43.7</v>
      </c>
      <c r="F24" s="43" t="n">
        <v>68.40000000000001</v>
      </c>
      <c r="G24" s="44">
        <f>G20-G22</f>
        <v/>
      </c>
      <c r="H24" s="44">
        <f>H20-H22</f>
        <v/>
      </c>
      <c r="I24" s="44">
        <f>I20-I22</f>
        <v/>
      </c>
      <c r="J24" s="44">
        <f>J20-J22</f>
        <v/>
      </c>
      <c r="K24" s="44">
        <f>K20-K22</f>
        <v/>
      </c>
      <c r="L24" s="44">
        <f>L20-L22</f>
        <v/>
      </c>
      <c r="M24" s="44">
        <f>M20-M22</f>
        <v/>
      </c>
      <c r="N24" s="44">
        <f>N20-N22</f>
        <v/>
      </c>
      <c r="O24" s="44">
        <f>O20-O22</f>
        <v/>
      </c>
      <c r="P24" s="44">
        <f>P20-P22</f>
        <v/>
      </c>
    </row>
    <row r="26">
      <c r="A26" s="17" t="inlineStr">
        <is>
          <t xml:space="preserve">  Income Tax</t>
        </is>
      </c>
      <c r="B26" s="26" t="n">
        <v>3.5</v>
      </c>
      <c r="C26" s="26" t="n">
        <v>6.5</v>
      </c>
      <c r="D26" s="26" t="n">
        <v>12.5</v>
      </c>
      <c r="E26" s="26" t="n">
        <v>13.1</v>
      </c>
      <c r="F26" s="26" t="n">
        <v>20.5</v>
      </c>
      <c r="G26" s="39">
        <f>MAX(G24*Assumptions!$B$12,0)</f>
        <v/>
      </c>
      <c r="H26" s="39">
        <f>MAX(H24*Assumptions!$B$12,0)</f>
        <v/>
      </c>
      <c r="I26" s="39">
        <f>MAX(I24*Assumptions!$B$12,0)</f>
        <v/>
      </c>
      <c r="J26" s="39">
        <f>MAX(J24*Assumptions!$B$12,0)</f>
        <v/>
      </c>
      <c r="K26" s="39">
        <f>MAX(K24*Assumptions!$B$12,0)</f>
        <v/>
      </c>
      <c r="L26" s="39">
        <f>MAX(L24*Assumptions!$B$12,0)</f>
        <v/>
      </c>
      <c r="M26" s="39">
        <f>MAX(M24*Assumptions!$B$12,0)</f>
        <v/>
      </c>
      <c r="N26" s="39">
        <f>MAX(N24*Assumptions!$B$12,0)</f>
        <v/>
      </c>
      <c r="O26" s="39">
        <f>MAX(O24*Assumptions!$B$12,0)</f>
        <v/>
      </c>
      <c r="P26" s="39">
        <f>MAX(P24*Assumptions!$B$12,0)</f>
        <v/>
      </c>
    </row>
    <row r="28">
      <c r="A28" s="17" t="inlineStr">
        <is>
          <t>Net Income</t>
        </is>
      </c>
      <c r="B28" s="43" t="n">
        <v>8.1</v>
      </c>
      <c r="C28" s="43" t="n">
        <v>15.1</v>
      </c>
      <c r="D28" s="43" t="n">
        <v>29.1</v>
      </c>
      <c r="E28" s="43" t="n">
        <v>30.6</v>
      </c>
      <c r="F28" s="43" t="n">
        <v>47.9</v>
      </c>
      <c r="G28" s="44">
        <f>G24-G26</f>
        <v/>
      </c>
      <c r="H28" s="44">
        <f>H24-H26</f>
        <v/>
      </c>
      <c r="I28" s="44">
        <f>I24-I26</f>
        <v/>
      </c>
      <c r="J28" s="44">
        <f>J24-J26</f>
        <v/>
      </c>
      <c r="K28" s="44">
        <f>K24-K26</f>
        <v/>
      </c>
      <c r="L28" s="44">
        <f>L24-L26</f>
        <v/>
      </c>
      <c r="M28" s="44">
        <f>M24-M26</f>
        <v/>
      </c>
      <c r="N28" s="44">
        <f>N24-N26</f>
        <v/>
      </c>
      <c r="O28" s="44">
        <f>O24-O26</f>
        <v/>
      </c>
      <c r="P28" s="44">
        <f>P24-P26</f>
        <v/>
      </c>
    </row>
    <row r="29">
      <c r="A29" s="17" t="inlineStr">
        <is>
          <t xml:space="preserve">  Dividends</t>
        </is>
      </c>
      <c r="B29" s="26" t="n">
        <v>5.7</v>
      </c>
      <c r="C29" s="26" t="n">
        <v>10.6</v>
      </c>
      <c r="D29" s="26" t="n">
        <v>20.4</v>
      </c>
      <c r="E29" s="26" t="n">
        <v>21.4</v>
      </c>
      <c r="F29" s="26" t="n">
        <v>33.5</v>
      </c>
      <c r="G29" s="39">
        <f>G28*Assumptions!$B$47</f>
        <v/>
      </c>
      <c r="H29" s="39">
        <f>H28*Assumptions!$B$47</f>
        <v/>
      </c>
      <c r="I29" s="39">
        <f>I28*Assumptions!$B$47</f>
        <v/>
      </c>
      <c r="J29" s="39">
        <f>J28*Assumptions!$B$47</f>
        <v/>
      </c>
      <c r="K29" s="39">
        <f>K28*Assumptions!$B$47</f>
        <v/>
      </c>
      <c r="L29" s="39">
        <f>L28*Assumptions!$B$47</f>
        <v/>
      </c>
      <c r="M29" s="39">
        <f>M28*Assumptions!$B$47</f>
        <v/>
      </c>
      <c r="N29" s="39">
        <f>N28*Assumptions!$B$47</f>
        <v/>
      </c>
      <c r="O29" s="39">
        <f>O28*Assumptions!$B$47</f>
        <v/>
      </c>
      <c r="P29" s="39">
        <f>P28*Assumptions!$B$47</f>
        <v/>
      </c>
    </row>
    <row r="30">
      <c r="A30" s="17" t="inlineStr">
        <is>
          <t xml:space="preserve">  Retained Earnings</t>
        </is>
      </c>
      <c r="B30" s="26" t="n">
        <v>2.4</v>
      </c>
      <c r="C30" s="26" t="n">
        <v>4.5</v>
      </c>
      <c r="D30" s="26" t="n">
        <v>8.699999999999999</v>
      </c>
      <c r="E30" s="26" t="n">
        <v>9.199999999999999</v>
      </c>
      <c r="F30" s="26" t="n">
        <v>14.4</v>
      </c>
      <c r="G30" s="39">
        <f>G28-G29</f>
        <v/>
      </c>
      <c r="H30" s="39">
        <f>H28-H29</f>
        <v/>
      </c>
      <c r="I30" s="39">
        <f>I28-I29</f>
        <v/>
      </c>
      <c r="J30" s="39">
        <f>J28-J29</f>
        <v/>
      </c>
      <c r="K30" s="39">
        <f>K28-K29</f>
        <v/>
      </c>
      <c r="L30" s="39">
        <f>L28-L29</f>
        <v/>
      </c>
      <c r="M30" s="39">
        <f>M28-M29</f>
        <v/>
      </c>
      <c r="N30" s="39">
        <f>N28-N29</f>
        <v/>
      </c>
      <c r="O30" s="39">
        <f>O28-O29</f>
        <v/>
      </c>
      <c r="P30" s="39">
        <f>P28-P29</f>
        <v/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/>
  </sheetPr>
  <dimension ref="A1:Q2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11" t="inlineStr">
        <is>
          <t>BALANCE SHEET — Electricity Grid Transmission Utility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ASSETS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Cash &amp; Cash Equivalents</t>
        </is>
      </c>
      <c r="B5" s="26" t="n">
        <v>130.3</v>
      </c>
      <c r="C5" s="26" t="n">
        <v>131.5</v>
      </c>
      <c r="D5" s="26" t="n">
        <v>125</v>
      </c>
      <c r="E5" s="26" t="n">
        <v>116.1</v>
      </c>
      <c r="F5" s="26" t="n">
        <v>105.4</v>
      </c>
      <c r="G5" s="39">
        <f>'Cash Flow'!G24</f>
        <v/>
      </c>
      <c r="H5" s="39">
        <f>'Cash Flow'!H24</f>
        <v/>
      </c>
      <c r="I5" s="39">
        <f>'Cash Flow'!I24</f>
        <v/>
      </c>
      <c r="J5" s="39">
        <f>'Cash Flow'!J24</f>
        <v/>
      </c>
      <c r="K5" s="39">
        <f>'Cash Flow'!K24</f>
        <v/>
      </c>
      <c r="L5" s="39">
        <f>'Cash Flow'!L24</f>
        <v/>
      </c>
      <c r="M5" s="39">
        <f>'Cash Flow'!M24</f>
        <v/>
      </c>
      <c r="N5" s="39">
        <f>'Cash Flow'!N24</f>
        <v/>
      </c>
      <c r="O5" s="39">
        <f>'Cash Flow'!O24</f>
        <v/>
      </c>
      <c r="P5" s="39">
        <f>'Cash Flow'!P24</f>
        <v/>
      </c>
    </row>
    <row r="6">
      <c r="A6" s="17" t="inlineStr">
        <is>
          <t xml:space="preserve">  Accounts Receivable</t>
        </is>
      </c>
      <c r="B6" s="26" t="n">
        <v>74.3</v>
      </c>
      <c r="C6" s="26" t="n">
        <v>77.5</v>
      </c>
      <c r="D6" s="26" t="n">
        <v>82.09999999999999</v>
      </c>
      <c r="E6" s="26" t="n">
        <v>84.7</v>
      </c>
      <c r="F6" s="26" t="n">
        <v>90.09999999999999</v>
      </c>
      <c r="G6" s="39">
        <f>'Income Statement'!G7*Assumptions!$B$52/365</f>
        <v/>
      </c>
      <c r="H6" s="39">
        <f>'Income Statement'!H7*Assumptions!$B$52/365</f>
        <v/>
      </c>
      <c r="I6" s="39">
        <f>'Income Statement'!I7*Assumptions!$B$52/365</f>
        <v/>
      </c>
      <c r="J6" s="39">
        <f>'Income Statement'!J7*Assumptions!$B$52/365</f>
        <v/>
      </c>
      <c r="K6" s="39">
        <f>'Income Statement'!K7*Assumptions!$B$52/365</f>
        <v/>
      </c>
      <c r="L6" s="39">
        <f>'Income Statement'!L7*Assumptions!$B$52/365</f>
        <v/>
      </c>
      <c r="M6" s="39">
        <f>'Income Statement'!M7*Assumptions!$B$52/365</f>
        <v/>
      </c>
      <c r="N6" s="39">
        <f>'Income Statement'!N7*Assumptions!$B$52/365</f>
        <v/>
      </c>
      <c r="O6" s="39">
        <f>'Income Statement'!O7*Assumptions!$B$52/365</f>
        <v/>
      </c>
      <c r="P6" s="39">
        <f>'Income Statement'!P7*Assumptions!$B$52/365</f>
        <v/>
      </c>
    </row>
    <row r="7">
      <c r="A7" s="17" t="inlineStr">
        <is>
          <t xml:space="preserve">  Total Current Assets</t>
        </is>
      </c>
      <c r="B7" s="43" t="n">
        <v>204.6</v>
      </c>
      <c r="C7" s="43" t="n">
        <v>209</v>
      </c>
      <c r="D7" s="43" t="n">
        <v>207.1</v>
      </c>
      <c r="E7" s="43" t="n">
        <v>200.8</v>
      </c>
      <c r="F7" s="43" t="n">
        <v>195.5</v>
      </c>
      <c r="G7" s="46">
        <f>G5+G6</f>
        <v/>
      </c>
      <c r="H7" s="46">
        <f>H5+H6</f>
        <v/>
      </c>
      <c r="I7" s="46">
        <f>I5+I6</f>
        <v/>
      </c>
      <c r="J7" s="46">
        <f>J5+J6</f>
        <v/>
      </c>
      <c r="K7" s="46">
        <f>K5+K6</f>
        <v/>
      </c>
      <c r="L7" s="46">
        <f>L5+L6</f>
        <v/>
      </c>
      <c r="M7" s="46">
        <f>M5+M6</f>
        <v/>
      </c>
      <c r="N7" s="46">
        <f>N5+N6</f>
        <v/>
      </c>
      <c r="O7" s="46">
        <f>O5+O6</f>
        <v/>
      </c>
      <c r="P7" s="46">
        <f>P5+P6</f>
        <v/>
      </c>
    </row>
    <row r="9">
      <c r="A9" s="17" t="inlineStr">
        <is>
          <t xml:space="preserve">  Gross PP&amp;E</t>
        </is>
      </c>
      <c r="B9" s="26" t="n">
        <v>8080</v>
      </c>
      <c r="C9" s="26" t="n">
        <v>8385</v>
      </c>
      <c r="D9" s="26" t="n">
        <v>8715</v>
      </c>
      <c r="E9" s="26" t="n">
        <v>9070</v>
      </c>
      <c r="F9" s="26" t="n">
        <v>9450</v>
      </c>
      <c r="G9" s="39">
        <f>F9+REFM!G15</f>
        <v/>
      </c>
      <c r="H9" s="39">
        <f>G9+REFM!H15</f>
        <v/>
      </c>
      <c r="I9" s="39">
        <f>H9+REFM!I15</f>
        <v/>
      </c>
      <c r="J9" s="39">
        <f>I9+REFM!J15</f>
        <v/>
      </c>
      <c r="K9" s="39">
        <f>J9+REFM!K15</f>
        <v/>
      </c>
      <c r="L9" s="39">
        <f>K9+REFM!L15</f>
        <v/>
      </c>
      <c r="M9" s="39">
        <f>L9+REFM!M15</f>
        <v/>
      </c>
      <c r="N9" s="39">
        <f>M9+REFM!N15</f>
        <v/>
      </c>
      <c r="O9" s="39">
        <f>N9+REFM!O15</f>
        <v/>
      </c>
      <c r="P9" s="39">
        <f>O9+REFM!P15</f>
        <v/>
      </c>
    </row>
    <row r="10">
      <c r="A10" s="17" t="inlineStr">
        <is>
          <t xml:space="preserve">  (Less) Accumulated D&amp;A</t>
        </is>
      </c>
      <c r="B10" s="26" t="n">
        <v>2830.9</v>
      </c>
      <c r="C10" s="26" t="n">
        <v>3070.5</v>
      </c>
      <c r="D10" s="26" t="n">
        <v>3319.5</v>
      </c>
      <c r="E10" s="26" t="n">
        <v>3578.6</v>
      </c>
      <c r="F10" s="26" t="n">
        <v>3848.6</v>
      </c>
      <c r="G10" s="39">
        <f>F10+'Income Statement'!G18</f>
        <v/>
      </c>
      <c r="H10" s="39">
        <f>G10+'Income Statement'!H18</f>
        <v/>
      </c>
      <c r="I10" s="39">
        <f>H10+'Income Statement'!I18</f>
        <v/>
      </c>
      <c r="J10" s="39">
        <f>I10+'Income Statement'!J18</f>
        <v/>
      </c>
      <c r="K10" s="39">
        <f>J10+'Income Statement'!K18</f>
        <v/>
      </c>
      <c r="L10" s="39">
        <f>K10+'Income Statement'!L18</f>
        <v/>
      </c>
      <c r="M10" s="39">
        <f>L10+'Income Statement'!M18</f>
        <v/>
      </c>
      <c r="N10" s="39">
        <f>M10+'Income Statement'!N18</f>
        <v/>
      </c>
      <c r="O10" s="39">
        <f>N10+'Income Statement'!O18</f>
        <v/>
      </c>
      <c r="P10" s="39">
        <f>O10+'Income Statement'!P18</f>
        <v/>
      </c>
    </row>
    <row r="11">
      <c r="A11" s="17" t="inlineStr">
        <is>
          <t xml:space="preserve">  Net PP&amp;E</t>
        </is>
      </c>
      <c r="B11" s="26" t="n">
        <v>5249.1</v>
      </c>
      <c r="C11" s="26" t="n">
        <v>5314.5</v>
      </c>
      <c r="D11" s="26" t="n">
        <v>5395.5</v>
      </c>
      <c r="E11" s="26" t="n">
        <v>5491.4</v>
      </c>
      <c r="F11" s="26" t="n">
        <v>5601.4</v>
      </c>
      <c r="G11" s="39">
        <f>G9-G10</f>
        <v/>
      </c>
      <c r="H11" s="39">
        <f>H9-H10</f>
        <v/>
      </c>
      <c r="I11" s="39">
        <f>I9-I10</f>
        <v/>
      </c>
      <c r="J11" s="39">
        <f>J9-J10</f>
        <v/>
      </c>
      <c r="K11" s="39">
        <f>K9-K10</f>
        <v/>
      </c>
      <c r="L11" s="39">
        <f>L9-L10</f>
        <v/>
      </c>
      <c r="M11" s="39">
        <f>M9-M10</f>
        <v/>
      </c>
      <c r="N11" s="39">
        <f>N9-N10</f>
        <v/>
      </c>
      <c r="O11" s="39">
        <f>O9-O10</f>
        <v/>
      </c>
      <c r="P11" s="39">
        <f>P9-P10</f>
        <v/>
      </c>
    </row>
    <row r="12">
      <c r="A12" s="17" t="inlineStr">
        <is>
          <t xml:space="preserve">  Regulatory Asset (RAB excess over book)</t>
        </is>
      </c>
      <c r="B12" s="26" t="n">
        <v>-217.1</v>
      </c>
      <c r="C12" s="26" t="n">
        <v>-17.8</v>
      </c>
      <c r="D12" s="26" t="n">
        <v>194.1</v>
      </c>
      <c r="E12" s="26" t="n">
        <v>481.2</v>
      </c>
      <c r="F12" s="26" t="n">
        <v>960.3</v>
      </c>
      <c r="G12" s="39">
        <f>RAB!G9-G11</f>
        <v/>
      </c>
      <c r="H12" s="39">
        <f>RAB!H9-H11</f>
        <v/>
      </c>
      <c r="I12" s="39">
        <f>RAB!I9-I11</f>
        <v/>
      </c>
      <c r="J12" s="39">
        <f>RAB!J9-J11</f>
        <v/>
      </c>
      <c r="K12" s="39">
        <f>RAB!K9-K11</f>
        <v/>
      </c>
      <c r="L12" s="39">
        <f>RAB!L9-L11</f>
        <v/>
      </c>
      <c r="M12" s="39">
        <f>RAB!M9-M11</f>
        <v/>
      </c>
      <c r="N12" s="39">
        <f>RAB!N9-N11</f>
        <v/>
      </c>
      <c r="O12" s="39">
        <f>RAB!O9-O11</f>
        <v/>
      </c>
      <c r="P12" s="39">
        <f>RAB!P9-P11</f>
        <v/>
      </c>
    </row>
    <row r="13">
      <c r="A13" s="17" t="inlineStr">
        <is>
          <t xml:space="preserve">  Total Non-Current Assets</t>
        </is>
      </c>
      <c r="B13" s="43" t="n">
        <v>5032</v>
      </c>
      <c r="C13" s="43" t="n">
        <v>5296.7</v>
      </c>
      <c r="D13" s="43" t="n">
        <v>5589.6</v>
      </c>
      <c r="E13" s="43" t="n">
        <v>5972.6</v>
      </c>
      <c r="F13" s="43" t="n">
        <v>6561.7</v>
      </c>
      <c r="G13" s="46">
        <f>G11+G12</f>
        <v/>
      </c>
      <c r="H13" s="46">
        <f>H11+H12</f>
        <v/>
      </c>
      <c r="I13" s="46">
        <f>I11+I12</f>
        <v/>
      </c>
      <c r="J13" s="46">
        <f>J11+J12</f>
        <v/>
      </c>
      <c r="K13" s="46">
        <f>K11+K12</f>
        <v/>
      </c>
      <c r="L13" s="46">
        <f>L11+L12</f>
        <v/>
      </c>
      <c r="M13" s="46">
        <f>M11+M12</f>
        <v/>
      </c>
      <c r="N13" s="46">
        <f>N11+N12</f>
        <v/>
      </c>
      <c r="O13" s="46">
        <f>O11+O12</f>
        <v/>
      </c>
      <c r="P13" s="46">
        <f>P11+P12</f>
        <v/>
      </c>
    </row>
    <row r="14">
      <c r="A14" s="17" t="inlineStr">
        <is>
          <t>TOTAL ASSETS</t>
        </is>
      </c>
      <c r="B14" s="43" t="n">
        <v>5236.6</v>
      </c>
      <c r="C14" s="43" t="n">
        <v>5505.7</v>
      </c>
      <c r="D14" s="43" t="n">
        <v>5796.7</v>
      </c>
      <c r="E14" s="43" t="n">
        <v>6173.4</v>
      </c>
      <c r="F14" s="43" t="n">
        <v>6757.2</v>
      </c>
      <c r="G14" s="44">
        <f>G7+G13</f>
        <v/>
      </c>
      <c r="H14" s="44">
        <f>H7+H13</f>
        <v/>
      </c>
      <c r="I14" s="44">
        <f>I7+I13</f>
        <v/>
      </c>
      <c r="J14" s="44">
        <f>J7+J13</f>
        <v/>
      </c>
      <c r="K14" s="44">
        <f>K7+K13</f>
        <v/>
      </c>
      <c r="L14" s="44">
        <f>L7+L13</f>
        <v/>
      </c>
      <c r="M14" s="44">
        <f>M7+M13</f>
        <v/>
      </c>
      <c r="N14" s="44">
        <f>N7+N13</f>
        <v/>
      </c>
      <c r="O14" s="44">
        <f>O7+O13</f>
        <v/>
      </c>
      <c r="P14" s="44">
        <f>P7+P13</f>
        <v/>
      </c>
    </row>
    <row r="16" ht="16" customHeight="1">
      <c r="A16" s="15" t="inlineStr">
        <is>
          <t>LIABILITIES ($M)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>
      <c r="A17" s="17" t="inlineStr">
        <is>
          <t xml:space="preserve">  Accounts Payable</t>
        </is>
      </c>
      <c r="B17" s="26" t="n">
        <v>13.8</v>
      </c>
      <c r="C17" s="26" t="n">
        <v>14.1</v>
      </c>
      <c r="D17" s="26" t="n">
        <v>14.5</v>
      </c>
      <c r="E17" s="26" t="n">
        <v>14.9</v>
      </c>
      <c r="F17" s="26" t="n">
        <v>15.2</v>
      </c>
      <c r="G17" s="39">
        <f>REFM!G9*Assumptions!$B$53/365</f>
        <v/>
      </c>
      <c r="H17" s="39">
        <f>REFM!H9*Assumptions!$B$53/365</f>
        <v/>
      </c>
      <c r="I17" s="39">
        <f>REFM!I9*Assumptions!$B$53/365</f>
        <v/>
      </c>
      <c r="J17" s="39">
        <f>REFM!J9*Assumptions!$B$53/365</f>
        <v/>
      </c>
      <c r="K17" s="39">
        <f>REFM!K9*Assumptions!$B$53/365</f>
        <v/>
      </c>
      <c r="L17" s="39">
        <f>REFM!L9*Assumptions!$B$53/365</f>
        <v/>
      </c>
      <c r="M17" s="39">
        <f>REFM!M9*Assumptions!$B$53/365</f>
        <v/>
      </c>
      <c r="N17" s="39">
        <f>REFM!N9*Assumptions!$B$53/365</f>
        <v/>
      </c>
      <c r="O17" s="39">
        <f>REFM!O9*Assumptions!$B$53/365</f>
        <v/>
      </c>
      <c r="P17" s="39">
        <f>REFM!P9*Assumptions!$B$53/365</f>
        <v/>
      </c>
    </row>
    <row r="18">
      <c r="A18" s="17" t="inlineStr">
        <is>
          <t xml:space="preserve">  Total Current Liabilities</t>
        </is>
      </c>
      <c r="B18" s="43" t="n">
        <v>13.8</v>
      </c>
      <c r="C18" s="43" t="n">
        <v>14.1</v>
      </c>
      <c r="D18" s="43" t="n">
        <v>14.5</v>
      </c>
      <c r="E18" s="43" t="n">
        <v>14.9</v>
      </c>
      <c r="F18" s="43" t="n">
        <v>15.2</v>
      </c>
      <c r="G18" s="46">
        <f>G17</f>
        <v/>
      </c>
      <c r="H18" s="46">
        <f>H17</f>
        <v/>
      </c>
      <c r="I18" s="46">
        <f>I17</f>
        <v/>
      </c>
      <c r="J18" s="46">
        <f>J17</f>
        <v/>
      </c>
      <c r="K18" s="46">
        <f>K17</f>
        <v/>
      </c>
      <c r="L18" s="46">
        <f>L17</f>
        <v/>
      </c>
      <c r="M18" s="46">
        <f>M17</f>
        <v/>
      </c>
      <c r="N18" s="46">
        <f>N17</f>
        <v/>
      </c>
      <c r="O18" s="46">
        <f>O17</f>
        <v/>
      </c>
      <c r="P18" s="46">
        <f>P17</f>
        <v/>
      </c>
    </row>
    <row r="20">
      <c r="A20" s="17" t="inlineStr">
        <is>
          <t xml:space="preserve">  Long-Term Debt</t>
        </is>
      </c>
      <c r="B20" s="26" t="n">
        <v>3560</v>
      </c>
      <c r="C20" s="26" t="n">
        <v>3625</v>
      </c>
      <c r="D20" s="26" t="n">
        <v>3695</v>
      </c>
      <c r="E20" s="26" t="n">
        <v>3775</v>
      </c>
      <c r="F20" s="26" t="n">
        <v>3865</v>
      </c>
      <c r="G20" s="39">
        <f>F20+Assumptions!G48-Assumptions!G49</f>
        <v/>
      </c>
      <c r="H20" s="39">
        <f>G20+Assumptions!H48-Assumptions!H49</f>
        <v/>
      </c>
      <c r="I20" s="39">
        <f>H20+Assumptions!I48-Assumptions!I49</f>
        <v/>
      </c>
      <c r="J20" s="39">
        <f>I20+Assumptions!J48-Assumptions!J49</f>
        <v/>
      </c>
      <c r="K20" s="39">
        <f>J20+Assumptions!K48-Assumptions!K49</f>
        <v/>
      </c>
      <c r="L20" s="39">
        <f>K20+Assumptions!L48-Assumptions!L49</f>
        <v/>
      </c>
      <c r="M20" s="39">
        <f>L20+Assumptions!M48-Assumptions!M49</f>
        <v/>
      </c>
      <c r="N20" s="39">
        <f>M20+Assumptions!N48-Assumptions!N49</f>
        <v/>
      </c>
      <c r="O20" s="39">
        <f>N20+Assumptions!O48-Assumptions!O49</f>
        <v/>
      </c>
      <c r="P20" s="39">
        <f>O20+Assumptions!P48-Assumptions!P49</f>
        <v/>
      </c>
    </row>
    <row r="21">
      <c r="A21" s="17" t="inlineStr">
        <is>
          <t xml:space="preserve">  Deferred Tax Liability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39">
        <f>MAX((RAB!G14-G10)*Assumptions!$B$12,0)</f>
        <v/>
      </c>
      <c r="H21" s="39">
        <f>MAX((RAB!H14-H10)*Assumptions!$B$12,0)</f>
        <v/>
      </c>
      <c r="I21" s="39">
        <f>MAX((RAB!I14-I10)*Assumptions!$B$12,0)</f>
        <v/>
      </c>
      <c r="J21" s="39">
        <f>MAX((RAB!J14-J10)*Assumptions!$B$12,0)</f>
        <v/>
      </c>
      <c r="K21" s="39">
        <f>MAX((RAB!K14-K10)*Assumptions!$B$12,0)</f>
        <v/>
      </c>
      <c r="L21" s="39">
        <f>MAX((RAB!L14-L10)*Assumptions!$B$12,0)</f>
        <v/>
      </c>
      <c r="M21" s="39">
        <f>MAX((RAB!M14-M10)*Assumptions!$B$12,0)</f>
        <v/>
      </c>
      <c r="N21" s="39">
        <f>MAX((RAB!N14-N10)*Assumptions!$B$12,0)</f>
        <v/>
      </c>
      <c r="O21" s="39">
        <f>MAX((RAB!O14-O10)*Assumptions!$B$12,0)</f>
        <v/>
      </c>
      <c r="P21" s="39">
        <f>MAX((RAB!P14-P10)*Assumptions!$B$12,0)</f>
        <v/>
      </c>
    </row>
    <row r="22">
      <c r="A22" s="17" t="inlineStr">
        <is>
          <t xml:space="preserve">  Total Non-Current Liabilities</t>
        </is>
      </c>
      <c r="B22" s="43" t="n">
        <v>3560</v>
      </c>
      <c r="C22" s="43" t="n">
        <v>3625</v>
      </c>
      <c r="D22" s="43" t="n">
        <v>3695</v>
      </c>
      <c r="E22" s="43" t="n">
        <v>3775</v>
      </c>
      <c r="F22" s="43" t="n">
        <v>3865</v>
      </c>
      <c r="G22" s="46">
        <f>G20+G21</f>
        <v/>
      </c>
      <c r="H22" s="46">
        <f>H20+H21</f>
        <v/>
      </c>
      <c r="I22" s="46">
        <f>I20+I21</f>
        <v/>
      </c>
      <c r="J22" s="46">
        <f>J20+J21</f>
        <v/>
      </c>
      <c r="K22" s="46">
        <f>K20+K21</f>
        <v/>
      </c>
      <c r="L22" s="46">
        <f>L20+L21</f>
        <v/>
      </c>
      <c r="M22" s="46">
        <f>M20+M21</f>
        <v/>
      </c>
      <c r="N22" s="46">
        <f>N20+N21</f>
        <v/>
      </c>
      <c r="O22" s="46">
        <f>O20+O21</f>
        <v/>
      </c>
      <c r="P22" s="46">
        <f>P20+P21</f>
        <v/>
      </c>
    </row>
    <row r="23">
      <c r="A23" s="17" t="inlineStr">
        <is>
          <t>TOTAL LIABILITIES</t>
        </is>
      </c>
      <c r="B23" s="43" t="n">
        <v>3573.8</v>
      </c>
      <c r="C23" s="43" t="n">
        <v>3639.1</v>
      </c>
      <c r="D23" s="43" t="n">
        <v>3709.5</v>
      </c>
      <c r="E23" s="43" t="n">
        <v>3789.9</v>
      </c>
      <c r="F23" s="43" t="n">
        <v>3880.2</v>
      </c>
      <c r="G23" s="44">
        <f>G18+G22</f>
        <v/>
      </c>
      <c r="H23" s="44">
        <f>H18+H22</f>
        <v/>
      </c>
      <c r="I23" s="44">
        <f>I18+I22</f>
        <v/>
      </c>
      <c r="J23" s="44">
        <f>J18+J22</f>
        <v/>
      </c>
      <c r="K23" s="44">
        <f>K18+K22</f>
        <v/>
      </c>
      <c r="L23" s="44">
        <f>L18+L22</f>
        <v/>
      </c>
      <c r="M23" s="44">
        <f>M18+M22</f>
        <v/>
      </c>
      <c r="N23" s="44">
        <f>N18+N22</f>
        <v/>
      </c>
      <c r="O23" s="44">
        <f>O18+O22</f>
        <v/>
      </c>
      <c r="P23" s="44">
        <f>P18+P22</f>
        <v/>
      </c>
    </row>
    <row r="25" ht="16" customHeight="1">
      <c r="A25" s="15" t="inlineStr">
        <is>
          <t>EQUITY ($M)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>
      <c r="A26" s="17" t="inlineStr">
        <is>
          <t xml:space="preserve">  Share Capital &amp; Reserves</t>
        </is>
      </c>
      <c r="B26" s="26" t="n">
        <v>880</v>
      </c>
      <c r="C26" s="26" t="n">
        <v>880</v>
      </c>
      <c r="D26" s="26" t="n">
        <v>880</v>
      </c>
      <c r="E26" s="26" t="n">
        <v>880</v>
      </c>
      <c r="F26" s="26" t="n">
        <v>880</v>
      </c>
      <c r="G26" s="39">
        <f>F26</f>
        <v/>
      </c>
      <c r="H26" s="39">
        <f>G26</f>
        <v/>
      </c>
      <c r="I26" s="39">
        <f>H26</f>
        <v/>
      </c>
      <c r="J26" s="39">
        <f>I26</f>
        <v/>
      </c>
      <c r="K26" s="39">
        <f>J26</f>
        <v/>
      </c>
      <c r="L26" s="39">
        <f>K26</f>
        <v/>
      </c>
      <c r="M26" s="39">
        <f>L26</f>
        <v/>
      </c>
      <c r="N26" s="39">
        <f>M26</f>
        <v/>
      </c>
      <c r="O26" s="39">
        <f>N26</f>
        <v/>
      </c>
      <c r="P26" s="39">
        <f>O26</f>
        <v/>
      </c>
    </row>
    <row r="27">
      <c r="A27" s="17" t="inlineStr">
        <is>
          <t xml:space="preserve">  Retained Earnings</t>
        </is>
      </c>
      <c r="B27" s="26" t="n">
        <v>422.4</v>
      </c>
      <c r="C27" s="26" t="n">
        <v>426.9</v>
      </c>
      <c r="D27" s="26" t="n">
        <v>435.6</v>
      </c>
      <c r="E27" s="26" t="n">
        <v>444.8</v>
      </c>
      <c r="F27" s="26" t="n">
        <v>459.1999999999999</v>
      </c>
      <c r="G27" s="39">
        <f>F27+'Income Statement'!G30</f>
        <v/>
      </c>
      <c r="H27" s="39">
        <f>G27+'Income Statement'!H30</f>
        <v/>
      </c>
      <c r="I27" s="39">
        <f>H27+'Income Statement'!I30</f>
        <v/>
      </c>
      <c r="J27" s="39">
        <f>I27+'Income Statement'!J30</f>
        <v/>
      </c>
      <c r="K27" s="39">
        <f>J27+'Income Statement'!K30</f>
        <v/>
      </c>
      <c r="L27" s="39">
        <f>K27+'Income Statement'!L30</f>
        <v/>
      </c>
      <c r="M27" s="39">
        <f>L27+'Income Statement'!M30</f>
        <v/>
      </c>
      <c r="N27" s="39">
        <f>M27+'Income Statement'!N30</f>
        <v/>
      </c>
      <c r="O27" s="39">
        <f>N27+'Income Statement'!O30</f>
        <v/>
      </c>
      <c r="P27" s="39">
        <f>O27+'Income Statement'!P30</f>
        <v/>
      </c>
    </row>
    <row r="28">
      <c r="A28" s="17" t="inlineStr">
        <is>
          <t xml:space="preserve">  Total Equity</t>
        </is>
      </c>
      <c r="B28" s="43" t="n">
        <v>1302.4</v>
      </c>
      <c r="C28" s="43" t="n">
        <v>1306.9</v>
      </c>
      <c r="D28" s="43" t="n">
        <v>1315.6</v>
      </c>
      <c r="E28" s="43" t="n">
        <v>1324.8</v>
      </c>
      <c r="F28" s="43" t="n">
        <v>1339.2</v>
      </c>
      <c r="G28" s="46">
        <f>G26+G27</f>
        <v/>
      </c>
      <c r="H28" s="46">
        <f>H26+H27</f>
        <v/>
      </c>
      <c r="I28" s="46">
        <f>I26+I27</f>
        <v/>
      </c>
      <c r="J28" s="46">
        <f>J26+J27</f>
        <v/>
      </c>
      <c r="K28" s="46">
        <f>K26+K27</f>
        <v/>
      </c>
      <c r="L28" s="46">
        <f>L26+L27</f>
        <v/>
      </c>
      <c r="M28" s="46">
        <f>M26+M27</f>
        <v/>
      </c>
      <c r="N28" s="46">
        <f>N26+N27</f>
        <v/>
      </c>
      <c r="O28" s="46">
        <f>O26+O27</f>
        <v/>
      </c>
      <c r="P28" s="46">
        <f>P26+P27</f>
        <v/>
      </c>
    </row>
    <row r="29">
      <c r="A29" s="17" t="inlineStr">
        <is>
          <t>TOTAL LIABILITIES &amp; EQUITY</t>
        </is>
      </c>
      <c r="B29" s="43" t="n">
        <v>4876.2</v>
      </c>
      <c r="C29" s="43" t="n">
        <v>4946</v>
      </c>
      <c r="D29" s="43" t="n">
        <v>5025.1</v>
      </c>
      <c r="E29" s="43" t="n">
        <v>5114.7</v>
      </c>
      <c r="F29" s="43" t="n">
        <v>5219.4</v>
      </c>
      <c r="G29" s="44">
        <f>G23+G28</f>
        <v/>
      </c>
      <c r="H29" s="44">
        <f>H23+H28</f>
        <v/>
      </c>
      <c r="I29" s="44">
        <f>I23+I28</f>
        <v/>
      </c>
      <c r="J29" s="44">
        <f>J23+J28</f>
        <v/>
      </c>
      <c r="K29" s="44">
        <f>K23+K28</f>
        <v/>
      </c>
      <c r="L29" s="44">
        <f>L23+L28</f>
        <v/>
      </c>
      <c r="M29" s="44">
        <f>M23+M28</f>
        <v/>
      </c>
      <c r="N29" s="44">
        <f>N23+N28</f>
        <v/>
      </c>
      <c r="O29" s="44">
        <f>O23+O28</f>
        <v/>
      </c>
      <c r="P29" s="44">
        <f>P23+P28</f>
        <v/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Q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11" t="inlineStr">
        <is>
          <t>CASH FLOW STATEMENT — Indirect Method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OPERATING ACTIVITIES ($M)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Net Income</t>
        </is>
      </c>
      <c r="B5" s="26" t="n">
        <v>8.1</v>
      </c>
      <c r="C5" s="26" t="n">
        <v>15.1</v>
      </c>
      <c r="D5" s="26" t="n">
        <v>29.1</v>
      </c>
      <c r="E5" s="26" t="n">
        <v>30.6</v>
      </c>
      <c r="F5" s="26" t="n">
        <v>47.9</v>
      </c>
      <c r="G5" s="39">
        <f>'Income Statement'!G28</f>
        <v/>
      </c>
      <c r="H5" s="39">
        <f>'Income Statement'!H28</f>
        <v/>
      </c>
      <c r="I5" s="39">
        <f>'Income Statement'!I28</f>
        <v/>
      </c>
      <c r="J5" s="39">
        <f>'Income Statement'!J28</f>
        <v/>
      </c>
      <c r="K5" s="39">
        <f>'Income Statement'!K28</f>
        <v/>
      </c>
      <c r="L5" s="39">
        <f>'Income Statement'!L28</f>
        <v/>
      </c>
      <c r="M5" s="39">
        <f>'Income Statement'!M28</f>
        <v/>
      </c>
      <c r="N5" s="39">
        <f>'Income Statement'!N28</f>
        <v/>
      </c>
      <c r="O5" s="39">
        <f>'Income Statement'!O28</f>
        <v/>
      </c>
      <c r="P5" s="39">
        <f>'Income Statement'!P28</f>
        <v/>
      </c>
    </row>
    <row r="6">
      <c r="A6" s="17" t="inlineStr">
        <is>
          <t xml:space="preserve">  + Depreciation &amp; Amortisation</t>
        </is>
      </c>
      <c r="B6" s="26" t="n">
        <v>230.9</v>
      </c>
      <c r="C6" s="26" t="n">
        <v>239.6</v>
      </c>
      <c r="D6" s="26" t="n">
        <v>249</v>
      </c>
      <c r="E6" s="26" t="n">
        <v>259.1</v>
      </c>
      <c r="F6" s="26" t="n">
        <v>270</v>
      </c>
      <c r="G6" s="39">
        <f>'Income Statement'!G18</f>
        <v/>
      </c>
      <c r="H6" s="39">
        <f>'Income Statement'!H18</f>
        <v/>
      </c>
      <c r="I6" s="39">
        <f>'Income Statement'!I18</f>
        <v/>
      </c>
      <c r="J6" s="39">
        <f>'Income Statement'!J18</f>
        <v/>
      </c>
      <c r="K6" s="39">
        <f>'Income Statement'!K18</f>
        <v/>
      </c>
      <c r="L6" s="39">
        <f>'Income Statement'!L18</f>
        <v/>
      </c>
      <c r="M6" s="39">
        <f>'Income Statement'!M18</f>
        <v/>
      </c>
      <c r="N6" s="39">
        <f>'Income Statement'!N18</f>
        <v/>
      </c>
      <c r="O6" s="39">
        <f>'Income Statement'!O18</f>
        <v/>
      </c>
      <c r="P6" s="39">
        <f>'Income Statement'!P18</f>
        <v/>
      </c>
    </row>
    <row r="7">
      <c r="A7" s="17" t="inlineStr">
        <is>
          <t xml:space="preserve">  +/− Change in Accounts Receivable</t>
        </is>
      </c>
      <c r="B7" s="26" t="n">
        <v>-3.7</v>
      </c>
      <c r="C7" s="26" t="n">
        <v>-3.2</v>
      </c>
      <c r="D7" s="26" t="n">
        <v>-4.6</v>
      </c>
      <c r="E7" s="26" t="n">
        <v>-2.6</v>
      </c>
      <c r="F7" s="26" t="n">
        <v>-5.4</v>
      </c>
      <c r="G7" s="39">
        <f>-('Balance Sheet'!G6-'Balance Sheet'!F6)</f>
        <v/>
      </c>
      <c r="H7" s="39">
        <f>-('Balance Sheet'!H6-'Balance Sheet'!G6)</f>
        <v/>
      </c>
      <c r="I7" s="39">
        <f>-('Balance Sheet'!I6-'Balance Sheet'!H6)</f>
        <v/>
      </c>
      <c r="J7" s="39">
        <f>-('Balance Sheet'!J6-'Balance Sheet'!I6)</f>
        <v/>
      </c>
      <c r="K7" s="39">
        <f>-('Balance Sheet'!K6-'Balance Sheet'!J6)</f>
        <v/>
      </c>
      <c r="L7" s="39">
        <f>-('Balance Sheet'!L6-'Balance Sheet'!K6)</f>
        <v/>
      </c>
      <c r="M7" s="39">
        <f>-('Balance Sheet'!M6-'Balance Sheet'!L6)</f>
        <v/>
      </c>
      <c r="N7" s="39">
        <f>-('Balance Sheet'!N6-'Balance Sheet'!M6)</f>
        <v/>
      </c>
      <c r="O7" s="39">
        <f>-('Balance Sheet'!O6-'Balance Sheet'!N6)</f>
        <v/>
      </c>
      <c r="P7" s="39">
        <f>-('Balance Sheet'!P6-'Balance Sheet'!O6)</f>
        <v/>
      </c>
    </row>
    <row r="8">
      <c r="A8" s="17" t="inlineStr">
        <is>
          <t xml:space="preserve">  +/− Change in Accounts Payable</t>
        </is>
      </c>
      <c r="B8" s="26" t="n">
        <v>0.7</v>
      </c>
      <c r="C8" s="26" t="n">
        <v>0.3</v>
      </c>
      <c r="D8" s="26" t="n">
        <v>0.4</v>
      </c>
      <c r="E8" s="26" t="n">
        <v>0.4</v>
      </c>
      <c r="F8" s="26" t="n">
        <v>0.3</v>
      </c>
      <c r="G8" s="39">
        <f>'Balance Sheet'!G17-'Balance Sheet'!F17</f>
        <v/>
      </c>
      <c r="H8" s="39">
        <f>'Balance Sheet'!H17-'Balance Sheet'!G17</f>
        <v/>
      </c>
      <c r="I8" s="39">
        <f>'Balance Sheet'!I17-'Balance Sheet'!H17</f>
        <v/>
      </c>
      <c r="J8" s="39">
        <f>'Balance Sheet'!J17-'Balance Sheet'!I17</f>
        <v/>
      </c>
      <c r="K8" s="39">
        <f>'Balance Sheet'!K17-'Balance Sheet'!J17</f>
        <v/>
      </c>
      <c r="L8" s="39">
        <f>'Balance Sheet'!L17-'Balance Sheet'!K17</f>
        <v/>
      </c>
      <c r="M8" s="39">
        <f>'Balance Sheet'!M17-'Balance Sheet'!L17</f>
        <v/>
      </c>
      <c r="N8" s="39">
        <f>'Balance Sheet'!N17-'Balance Sheet'!M17</f>
        <v/>
      </c>
      <c r="O8" s="39">
        <f>'Balance Sheet'!O17-'Balance Sheet'!N17</f>
        <v/>
      </c>
      <c r="P8" s="39">
        <f>'Balance Sheet'!P17-'Balance Sheet'!O17</f>
        <v/>
      </c>
    </row>
    <row r="9">
      <c r="A9" s="17" t="inlineStr">
        <is>
          <t xml:space="preserve">  +/− Change in Regulatory Assets</t>
        </is>
      </c>
      <c r="B9" s="26" t="n">
        <v>0</v>
      </c>
      <c r="C9" s="26" t="n">
        <v>0</v>
      </c>
      <c r="D9" s="26" t="n">
        <v>0</v>
      </c>
      <c r="E9" s="26" t="n">
        <v>0</v>
      </c>
      <c r="F9" s="26" t="n">
        <v>0</v>
      </c>
      <c r="G9" s="39">
        <f>-('Balance Sheet'!G12-'Balance Sheet'!F12)</f>
        <v/>
      </c>
      <c r="H9" s="39">
        <f>-('Balance Sheet'!H12-'Balance Sheet'!G12)</f>
        <v/>
      </c>
      <c r="I9" s="39">
        <f>-('Balance Sheet'!I12-'Balance Sheet'!H12)</f>
        <v/>
      </c>
      <c r="J9" s="39">
        <f>-('Balance Sheet'!J12-'Balance Sheet'!I12)</f>
        <v/>
      </c>
      <c r="K9" s="39">
        <f>-('Balance Sheet'!K12-'Balance Sheet'!J12)</f>
        <v/>
      </c>
      <c r="L9" s="39">
        <f>-('Balance Sheet'!L12-'Balance Sheet'!K12)</f>
        <v/>
      </c>
      <c r="M9" s="39">
        <f>-('Balance Sheet'!M12-'Balance Sheet'!L12)</f>
        <v/>
      </c>
      <c r="N9" s="39">
        <f>-('Balance Sheet'!N12-'Balance Sheet'!M12)</f>
        <v/>
      </c>
      <c r="O9" s="39">
        <f>-('Balance Sheet'!O12-'Balance Sheet'!N12)</f>
        <v/>
      </c>
      <c r="P9" s="39">
        <f>-('Balance Sheet'!P12-'Balance Sheet'!O12)</f>
        <v/>
      </c>
    </row>
    <row r="10">
      <c r="A10" s="17" t="inlineStr">
        <is>
          <t xml:space="preserve">  Net Cash from Operating Activities</t>
        </is>
      </c>
      <c r="B10" s="43" t="n">
        <v>236</v>
      </c>
      <c r="C10" s="43" t="n">
        <v>251.8</v>
      </c>
      <c r="D10" s="43" t="n">
        <v>273.9</v>
      </c>
      <c r="E10" s="43" t="n">
        <v>287.5</v>
      </c>
      <c r="F10" s="43" t="n">
        <v>312.8</v>
      </c>
      <c r="G10" s="44">
        <f>SUM(G5:G9)</f>
        <v/>
      </c>
      <c r="H10" s="44">
        <f>SUM(H5:H9)</f>
        <v/>
      </c>
      <c r="I10" s="44">
        <f>SUM(I5:I9)</f>
        <v/>
      </c>
      <c r="J10" s="44">
        <f>SUM(J5:J9)</f>
        <v/>
      </c>
      <c r="K10" s="44">
        <f>SUM(K5:K9)</f>
        <v/>
      </c>
      <c r="L10" s="44">
        <f>SUM(L5:L9)</f>
        <v/>
      </c>
      <c r="M10" s="44">
        <f>SUM(M5:M9)</f>
        <v/>
      </c>
      <c r="N10" s="44">
        <f>SUM(N5:N9)</f>
        <v/>
      </c>
      <c r="O10" s="44">
        <f>SUM(O5:O9)</f>
        <v/>
      </c>
      <c r="P10" s="44">
        <f>SUM(P5:P9)</f>
        <v/>
      </c>
    </row>
    <row r="12" ht="16" customHeight="1">
      <c r="A12" s="15" t="inlineStr">
        <is>
          <t>INVESTING ACTIVITIES ($M)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17" t="inlineStr">
        <is>
          <t xml:space="preserve">  Capital Expenditure</t>
        </is>
      </c>
      <c r="B13" s="26" t="n">
        <v>-280</v>
      </c>
      <c r="C13" s="26" t="n">
        <v>-305</v>
      </c>
      <c r="D13" s="26" t="n">
        <v>-330</v>
      </c>
      <c r="E13" s="26" t="n">
        <v>-355</v>
      </c>
      <c r="F13" s="26" t="n">
        <v>-380</v>
      </c>
      <c r="G13" s="39">
        <f>-REFM!G15</f>
        <v/>
      </c>
      <c r="H13" s="39">
        <f>-REFM!H15</f>
        <v/>
      </c>
      <c r="I13" s="39">
        <f>-REFM!I15</f>
        <v/>
      </c>
      <c r="J13" s="39">
        <f>-REFM!J15</f>
        <v/>
      </c>
      <c r="K13" s="39">
        <f>-REFM!K15</f>
        <v/>
      </c>
      <c r="L13" s="39">
        <f>-REFM!L15</f>
        <v/>
      </c>
      <c r="M13" s="39">
        <f>-REFM!M15</f>
        <v/>
      </c>
      <c r="N13" s="39">
        <f>-REFM!N15</f>
        <v/>
      </c>
      <c r="O13" s="39">
        <f>-REFM!O15</f>
        <v/>
      </c>
      <c r="P13" s="39">
        <f>-REFM!P15</f>
        <v/>
      </c>
    </row>
    <row r="14">
      <c r="A14" s="17" t="inlineStr">
        <is>
          <t xml:space="preserve">  Net Cash from Investing Activities</t>
        </is>
      </c>
      <c r="B14" s="43" t="n">
        <v>-280</v>
      </c>
      <c r="C14" s="43" t="n">
        <v>-305</v>
      </c>
      <c r="D14" s="43" t="n">
        <v>-330</v>
      </c>
      <c r="E14" s="43" t="n">
        <v>-355</v>
      </c>
      <c r="F14" s="43" t="n">
        <v>-380</v>
      </c>
      <c r="G14" s="44">
        <f>G13</f>
        <v/>
      </c>
      <c r="H14" s="44">
        <f>H13</f>
        <v/>
      </c>
      <c r="I14" s="44">
        <f>I13</f>
        <v/>
      </c>
      <c r="J14" s="44">
        <f>J13</f>
        <v/>
      </c>
      <c r="K14" s="44">
        <f>K13</f>
        <v/>
      </c>
      <c r="L14" s="44">
        <f>L13</f>
        <v/>
      </c>
      <c r="M14" s="44">
        <f>M13</f>
        <v/>
      </c>
      <c r="N14" s="44">
        <f>N13</f>
        <v/>
      </c>
      <c r="O14" s="44">
        <f>O13</f>
        <v/>
      </c>
      <c r="P14" s="44">
        <f>P13</f>
        <v/>
      </c>
    </row>
    <row r="16" ht="16" customHeight="1">
      <c r="A16" s="15" t="inlineStr">
        <is>
          <t>FINANCING ACTIVITIES ($M)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>
      <c r="A17" s="17" t="inlineStr">
        <is>
          <t xml:space="preserve">  Debt Issuances</t>
        </is>
      </c>
      <c r="B17" s="26" t="n">
        <v>300</v>
      </c>
      <c r="C17" s="26" t="n">
        <v>310</v>
      </c>
      <c r="D17" s="26" t="n">
        <v>320</v>
      </c>
      <c r="E17" s="26" t="n">
        <v>340</v>
      </c>
      <c r="F17" s="26" t="n">
        <v>360</v>
      </c>
      <c r="G17" s="39">
        <f>Assumptions!G48</f>
        <v/>
      </c>
      <c r="H17" s="39">
        <f>Assumptions!H48</f>
        <v/>
      </c>
      <c r="I17" s="39">
        <f>Assumptions!I48</f>
        <v/>
      </c>
      <c r="J17" s="39">
        <f>Assumptions!J48</f>
        <v/>
      </c>
      <c r="K17" s="39">
        <f>Assumptions!K48</f>
        <v/>
      </c>
      <c r="L17" s="39">
        <f>Assumptions!L48</f>
        <v/>
      </c>
      <c r="M17" s="39">
        <f>Assumptions!M48</f>
        <v/>
      </c>
      <c r="N17" s="39">
        <f>Assumptions!N48</f>
        <v/>
      </c>
      <c r="O17" s="39">
        <f>Assumptions!O48</f>
        <v/>
      </c>
      <c r="P17" s="39">
        <f>Assumptions!P48</f>
        <v/>
      </c>
    </row>
    <row r="18">
      <c r="A18" s="17" t="inlineStr">
        <is>
          <t xml:space="preserve">  Debt Repayments</t>
        </is>
      </c>
      <c r="B18" s="26" t="n">
        <v>-240</v>
      </c>
      <c r="C18" s="26" t="n">
        <v>-245</v>
      </c>
      <c r="D18" s="26" t="n">
        <v>-250</v>
      </c>
      <c r="E18" s="26" t="n">
        <v>-260</v>
      </c>
      <c r="F18" s="26" t="n">
        <v>-270</v>
      </c>
      <c r="G18" s="39">
        <f>-Assumptions!G49</f>
        <v/>
      </c>
      <c r="H18" s="39">
        <f>-Assumptions!H49</f>
        <v/>
      </c>
      <c r="I18" s="39">
        <f>-Assumptions!I49</f>
        <v/>
      </c>
      <c r="J18" s="39">
        <f>-Assumptions!J49</f>
        <v/>
      </c>
      <c r="K18" s="39">
        <f>-Assumptions!K49</f>
        <v/>
      </c>
      <c r="L18" s="39">
        <f>-Assumptions!L49</f>
        <v/>
      </c>
      <c r="M18" s="39">
        <f>-Assumptions!M49</f>
        <v/>
      </c>
      <c r="N18" s="39">
        <f>-Assumptions!N49</f>
        <v/>
      </c>
      <c r="O18" s="39">
        <f>-Assumptions!O49</f>
        <v/>
      </c>
      <c r="P18" s="39">
        <f>-Assumptions!P49</f>
        <v/>
      </c>
    </row>
    <row r="19">
      <c r="A19" s="17" t="inlineStr">
        <is>
          <t xml:space="preserve">  Dividends Paid</t>
        </is>
      </c>
      <c r="B19" s="26" t="n">
        <v>-5.7</v>
      </c>
      <c r="C19" s="26" t="n">
        <v>-10.6</v>
      </c>
      <c r="D19" s="26" t="n">
        <v>-20.4</v>
      </c>
      <c r="E19" s="26" t="n">
        <v>-21.4</v>
      </c>
      <c r="F19" s="26" t="n">
        <v>-33.5</v>
      </c>
      <c r="G19" s="39">
        <f>-'Income Statement'!G29</f>
        <v/>
      </c>
      <c r="H19" s="39">
        <f>-'Income Statement'!H29</f>
        <v/>
      </c>
      <c r="I19" s="39">
        <f>-'Income Statement'!I29</f>
        <v/>
      </c>
      <c r="J19" s="39">
        <f>-'Income Statement'!J29</f>
        <v/>
      </c>
      <c r="K19" s="39">
        <f>-'Income Statement'!K29</f>
        <v/>
      </c>
      <c r="L19" s="39">
        <f>-'Income Statement'!L29</f>
        <v/>
      </c>
      <c r="M19" s="39">
        <f>-'Income Statement'!M29</f>
        <v/>
      </c>
      <c r="N19" s="39">
        <f>-'Income Statement'!N29</f>
        <v/>
      </c>
      <c r="O19" s="39">
        <f>-'Income Statement'!O29</f>
        <v/>
      </c>
      <c r="P19" s="39">
        <f>-'Income Statement'!P29</f>
        <v/>
      </c>
    </row>
    <row r="20">
      <c r="A20" s="17" t="inlineStr">
        <is>
          <t xml:space="preserve">  Net Cash from Financing Activities</t>
        </is>
      </c>
      <c r="B20" s="43" t="n">
        <v>54.3</v>
      </c>
      <c r="C20" s="43" t="n">
        <v>54.4</v>
      </c>
      <c r="D20" s="43" t="n">
        <v>49.6</v>
      </c>
      <c r="E20" s="43" t="n">
        <v>58.6</v>
      </c>
      <c r="F20" s="43" t="n">
        <v>56.5</v>
      </c>
      <c r="G20" s="44">
        <f>G17+G18+G19</f>
        <v/>
      </c>
      <c r="H20" s="44">
        <f>H17+H18+H19</f>
        <v/>
      </c>
      <c r="I20" s="44">
        <f>I17+I18+I19</f>
        <v/>
      </c>
      <c r="J20" s="44">
        <f>J17+J18+J19</f>
        <v/>
      </c>
      <c r="K20" s="44">
        <f>K17+K18+K19</f>
        <v/>
      </c>
      <c r="L20" s="44">
        <f>L17+L18+L19</f>
        <v/>
      </c>
      <c r="M20" s="44">
        <f>M17+M18+M19</f>
        <v/>
      </c>
      <c r="N20" s="44">
        <f>N17+N18+N19</f>
        <v/>
      </c>
      <c r="O20" s="44">
        <f>O17+O18+O19</f>
        <v/>
      </c>
      <c r="P20" s="44">
        <f>P17+P18+P19</f>
        <v/>
      </c>
    </row>
    <row r="22">
      <c r="A22" s="17" t="inlineStr">
        <is>
          <t>Net Change in Cash</t>
        </is>
      </c>
      <c r="B22" s="43" t="n">
        <v>10.3</v>
      </c>
      <c r="C22" s="43" t="n">
        <v>1.2</v>
      </c>
      <c r="D22" s="43" t="n">
        <v>-6.5</v>
      </c>
      <c r="E22" s="43" t="n">
        <v>-8.9</v>
      </c>
      <c r="F22" s="43" t="n">
        <v>-10.7</v>
      </c>
      <c r="G22" s="44">
        <f>G10+G14+G20</f>
        <v/>
      </c>
      <c r="H22" s="44">
        <f>H10+H14+H20</f>
        <v/>
      </c>
      <c r="I22" s="44">
        <f>I10+I14+I20</f>
        <v/>
      </c>
      <c r="J22" s="44">
        <f>J10+J14+J20</f>
        <v/>
      </c>
      <c r="K22" s="44">
        <f>K10+K14+K20</f>
        <v/>
      </c>
      <c r="L22" s="44">
        <f>L10+L14+L20</f>
        <v/>
      </c>
      <c r="M22" s="44">
        <f>M10+M14+M20</f>
        <v/>
      </c>
      <c r="N22" s="44">
        <f>N10+N14+N20</f>
        <v/>
      </c>
      <c r="O22" s="44">
        <f>O10+O14+O20</f>
        <v/>
      </c>
      <c r="P22" s="44">
        <f>P10+P14+P20</f>
        <v/>
      </c>
    </row>
    <row r="23">
      <c r="A23" s="17" t="inlineStr">
        <is>
          <t>Opening Cash Balance</t>
        </is>
      </c>
      <c r="B23" s="26" t="n">
        <v>120</v>
      </c>
      <c r="C23" s="26" t="n">
        <v>130.3</v>
      </c>
      <c r="D23" s="26" t="n">
        <v>131.5</v>
      </c>
      <c r="E23" s="26" t="n">
        <v>125</v>
      </c>
      <c r="F23" s="26" t="n">
        <v>116.1</v>
      </c>
      <c r="G23" s="39">
        <f>'Balance Sheet'!F5</f>
        <v/>
      </c>
      <c r="H23" s="39">
        <f>G24</f>
        <v/>
      </c>
      <c r="I23" s="39">
        <f>H24</f>
        <v/>
      </c>
      <c r="J23" s="39">
        <f>I24</f>
        <v/>
      </c>
      <c r="K23" s="39">
        <f>J24</f>
        <v/>
      </c>
      <c r="L23" s="39">
        <f>K24</f>
        <v/>
      </c>
      <c r="M23" s="39">
        <f>L24</f>
        <v/>
      </c>
      <c r="N23" s="39">
        <f>M24</f>
        <v/>
      </c>
      <c r="O23" s="39">
        <f>N24</f>
        <v/>
      </c>
      <c r="P23" s="39">
        <f>O24</f>
        <v/>
      </c>
    </row>
    <row r="24">
      <c r="A24" s="17" t="inlineStr">
        <is>
          <t>Closing Cash Balance</t>
        </is>
      </c>
      <c r="B24" s="43" t="n">
        <v>130.3</v>
      </c>
      <c r="C24" s="43" t="n">
        <v>131.5</v>
      </c>
      <c r="D24" s="43" t="n">
        <v>125</v>
      </c>
      <c r="E24" s="43" t="n">
        <v>116.1</v>
      </c>
      <c r="F24" s="43" t="n">
        <v>105.4</v>
      </c>
      <c r="G24" s="44">
        <f>G23+G22</f>
        <v/>
      </c>
      <c r="H24" s="44">
        <f>H23+H22</f>
        <v/>
      </c>
      <c r="I24" s="44">
        <f>I23+I22</f>
        <v/>
      </c>
      <c r="J24" s="44">
        <f>J23+J22</f>
        <v/>
      </c>
      <c r="K24" s="44">
        <f>K23+K22</f>
        <v/>
      </c>
      <c r="L24" s="44">
        <f>L23+L22</f>
        <v/>
      </c>
      <c r="M24" s="44">
        <f>M23+M22</f>
        <v/>
      </c>
      <c r="N24" s="44">
        <f>N23+N22</f>
        <v/>
      </c>
      <c r="O24" s="44">
        <f>O23+O22</f>
        <v/>
      </c>
      <c r="P24" s="44">
        <f>P23+P22</f>
        <v/>
      </c>
    </row>
  </sheetData>
  <mergeCells count="1">
    <mergeCell ref="A1:P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Q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6" customHeight="1">
      <c r="A1" s="60" t="inlineStr">
        <is>
          <t>MODEL CHECKS — Balance Sheet | CFS Roll-Forward | RAB Integrity</t>
        </is>
      </c>
    </row>
    <row r="2" ht="20" customHeight="1">
      <c r="A2" s="12" t="inlineStr">
        <is>
          <t>$AUD Millions</t>
        </is>
      </c>
      <c r="B2" s="13" t="inlineStr">
        <is>
          <t>FY2019A</t>
        </is>
      </c>
      <c r="C2" s="13" t="inlineStr">
        <is>
          <t>FY2020A</t>
        </is>
      </c>
      <c r="D2" s="13" t="inlineStr">
        <is>
          <t>FY2021A</t>
        </is>
      </c>
      <c r="E2" s="13" t="inlineStr">
        <is>
          <t>FY2022A</t>
        </is>
      </c>
      <c r="F2" s="13" t="inlineStr">
        <is>
          <t>FY2023A</t>
        </is>
      </c>
      <c r="G2" s="14" t="inlineStr">
        <is>
          <t>FY2024E</t>
        </is>
      </c>
      <c r="H2" s="14" t="inlineStr">
        <is>
          <t>FY2025E</t>
        </is>
      </c>
      <c r="I2" s="14" t="inlineStr">
        <is>
          <t>FY2026E</t>
        </is>
      </c>
      <c r="J2" s="14" t="inlineStr">
        <is>
          <t>FY2027E</t>
        </is>
      </c>
      <c r="K2" s="14" t="inlineStr">
        <is>
          <t>FY2028E</t>
        </is>
      </c>
      <c r="L2" s="14" t="inlineStr">
        <is>
          <t>FY2029E</t>
        </is>
      </c>
      <c r="M2" s="14" t="inlineStr">
        <is>
          <t>FY2030E</t>
        </is>
      </c>
      <c r="N2" s="14" t="inlineStr">
        <is>
          <t>FY2031E</t>
        </is>
      </c>
      <c r="O2" s="14" t="inlineStr">
        <is>
          <t>FY2032E</t>
        </is>
      </c>
      <c r="P2" s="14" t="inlineStr">
        <is>
          <t>FY2033E</t>
        </is>
      </c>
    </row>
    <row r="3"/>
    <row r="4" ht="16" customHeight="1">
      <c r="A4" s="15" t="inlineStr">
        <is>
          <t>BALANCE SHEET CHECK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7" t="inlineStr">
        <is>
          <t xml:space="preserve">  Total Assets</t>
        </is>
      </c>
      <c r="B5" s="26">
        <f>'Balance Sheet'!B14</f>
        <v/>
      </c>
      <c r="C5" s="26">
        <f>'Balance Sheet'!C14</f>
        <v/>
      </c>
      <c r="D5" s="26">
        <f>'Balance Sheet'!D14</f>
        <v/>
      </c>
      <c r="E5" s="26">
        <f>'Balance Sheet'!E14</f>
        <v/>
      </c>
      <c r="F5" s="26">
        <f>'Balance Sheet'!F14</f>
        <v/>
      </c>
      <c r="G5" s="39">
        <f>'Balance Sheet'!G14</f>
        <v/>
      </c>
      <c r="H5" s="39">
        <f>'Balance Sheet'!H14</f>
        <v/>
      </c>
      <c r="I5" s="39">
        <f>'Balance Sheet'!I14</f>
        <v/>
      </c>
      <c r="J5" s="39">
        <f>'Balance Sheet'!J14</f>
        <v/>
      </c>
      <c r="K5" s="39">
        <f>'Balance Sheet'!K14</f>
        <v/>
      </c>
      <c r="L5" s="39">
        <f>'Balance Sheet'!L14</f>
        <v/>
      </c>
      <c r="M5" s="39">
        <f>'Balance Sheet'!M14</f>
        <v/>
      </c>
      <c r="N5" s="39">
        <f>'Balance Sheet'!N14</f>
        <v/>
      </c>
      <c r="O5" s="39">
        <f>'Balance Sheet'!O14</f>
        <v/>
      </c>
      <c r="P5" s="39">
        <f>'Balance Sheet'!P14</f>
        <v/>
      </c>
    </row>
    <row r="6">
      <c r="A6" s="17" t="inlineStr">
        <is>
          <t xml:space="preserve">  Total Liabilities &amp; Equity</t>
        </is>
      </c>
      <c r="B6" s="26">
        <f>'Balance Sheet'!B29</f>
        <v/>
      </c>
      <c r="C6" s="26">
        <f>'Balance Sheet'!C29</f>
        <v/>
      </c>
      <c r="D6" s="26">
        <f>'Balance Sheet'!D29</f>
        <v/>
      </c>
      <c r="E6" s="26">
        <f>'Balance Sheet'!E29</f>
        <v/>
      </c>
      <c r="F6" s="26">
        <f>'Balance Sheet'!F29</f>
        <v/>
      </c>
      <c r="G6" s="39">
        <f>'Balance Sheet'!G29</f>
        <v/>
      </c>
      <c r="H6" s="39">
        <f>'Balance Sheet'!H29</f>
        <v/>
      </c>
      <c r="I6" s="39">
        <f>'Balance Sheet'!I29</f>
        <v/>
      </c>
      <c r="J6" s="39">
        <f>'Balance Sheet'!J29</f>
        <v/>
      </c>
      <c r="K6" s="39">
        <f>'Balance Sheet'!K29</f>
        <v/>
      </c>
      <c r="L6" s="39">
        <f>'Balance Sheet'!L29</f>
        <v/>
      </c>
      <c r="M6" s="39">
        <f>'Balance Sheet'!M29</f>
        <v/>
      </c>
      <c r="N6" s="39">
        <f>'Balance Sheet'!N29</f>
        <v/>
      </c>
      <c r="O6" s="39">
        <f>'Balance Sheet'!O29</f>
        <v/>
      </c>
      <c r="P6" s="39">
        <f>'Balance Sheet'!P29</f>
        <v/>
      </c>
    </row>
    <row r="7">
      <c r="A7" s="17" t="inlineStr">
        <is>
          <t xml:space="preserve">  Discrepancy (target = 0)</t>
        </is>
      </c>
      <c r="B7" s="61">
        <f>B5-B6</f>
        <v/>
      </c>
      <c r="C7" s="61">
        <f>C5-C6</f>
        <v/>
      </c>
      <c r="D7" s="61">
        <f>D5-D6</f>
        <v/>
      </c>
      <c r="E7" s="61">
        <f>E5-E6</f>
        <v/>
      </c>
      <c r="F7" s="61">
        <f>F5-F6</f>
        <v/>
      </c>
      <c r="G7" s="62">
        <f>G5-G6</f>
        <v/>
      </c>
      <c r="H7" s="62">
        <f>H5-H6</f>
        <v/>
      </c>
      <c r="I7" s="62">
        <f>I5-I6</f>
        <v/>
      </c>
      <c r="J7" s="62">
        <f>J5-J6</f>
        <v/>
      </c>
      <c r="K7" s="62">
        <f>K5-K6</f>
        <v/>
      </c>
      <c r="L7" s="62">
        <f>L5-L6</f>
        <v/>
      </c>
      <c r="M7" s="62">
        <f>M5-M6</f>
        <v/>
      </c>
      <c r="N7" s="62">
        <f>N5-N6</f>
        <v/>
      </c>
      <c r="O7" s="62">
        <f>O5-O6</f>
        <v/>
      </c>
      <c r="P7" s="62">
        <f>P5-P6</f>
        <v/>
      </c>
    </row>
    <row r="9" ht="16" customHeight="1">
      <c r="A9" s="15" t="inlineStr">
        <is>
          <t>CFS ROLL-FORWARD CHECK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>
      <c r="A10" s="17" t="inlineStr">
        <is>
          <t xml:space="preserve">  Closing Cash (Balance Sheet)</t>
        </is>
      </c>
      <c r="B10" s="26">
        <f>'Balance Sheet'!B5</f>
        <v/>
      </c>
      <c r="C10" s="26">
        <f>'Balance Sheet'!C5</f>
        <v/>
      </c>
      <c r="D10" s="26">
        <f>'Balance Sheet'!D5</f>
        <v/>
      </c>
      <c r="E10" s="26">
        <f>'Balance Sheet'!E5</f>
        <v/>
      </c>
      <c r="F10" s="26">
        <f>'Balance Sheet'!F5</f>
        <v/>
      </c>
      <c r="G10" s="39">
        <f>'Balance Sheet'!G5</f>
        <v/>
      </c>
      <c r="H10" s="39">
        <f>'Balance Sheet'!H5</f>
        <v/>
      </c>
      <c r="I10" s="39">
        <f>'Balance Sheet'!I5</f>
        <v/>
      </c>
      <c r="J10" s="39">
        <f>'Balance Sheet'!J5</f>
        <v/>
      </c>
      <c r="K10" s="39">
        <f>'Balance Sheet'!K5</f>
        <v/>
      </c>
      <c r="L10" s="39">
        <f>'Balance Sheet'!L5</f>
        <v/>
      </c>
      <c r="M10" s="39">
        <f>'Balance Sheet'!M5</f>
        <v/>
      </c>
      <c r="N10" s="39">
        <f>'Balance Sheet'!N5</f>
        <v/>
      </c>
      <c r="O10" s="39">
        <f>'Balance Sheet'!O5</f>
        <v/>
      </c>
      <c r="P10" s="39">
        <f>'Balance Sheet'!P5</f>
        <v/>
      </c>
    </row>
    <row r="11">
      <c r="A11" s="17" t="inlineStr">
        <is>
          <t xml:space="preserve">  Closing Cash (Cash Flow)</t>
        </is>
      </c>
      <c r="B11" s="26">
        <f>'Cash Flow'!B24</f>
        <v/>
      </c>
      <c r="C11" s="26">
        <f>'Cash Flow'!C24</f>
        <v/>
      </c>
      <c r="D11" s="26">
        <f>'Cash Flow'!D24</f>
        <v/>
      </c>
      <c r="E11" s="26">
        <f>'Cash Flow'!E24</f>
        <v/>
      </c>
      <c r="F11" s="26">
        <f>'Cash Flow'!F24</f>
        <v/>
      </c>
      <c r="G11" s="39">
        <f>'Cash Flow'!G24</f>
        <v/>
      </c>
      <c r="H11" s="39">
        <f>'Cash Flow'!H24</f>
        <v/>
      </c>
      <c r="I11" s="39">
        <f>'Cash Flow'!I24</f>
        <v/>
      </c>
      <c r="J11" s="39">
        <f>'Cash Flow'!J24</f>
        <v/>
      </c>
      <c r="K11" s="39">
        <f>'Cash Flow'!K24</f>
        <v/>
      </c>
      <c r="L11" s="39">
        <f>'Cash Flow'!L24</f>
        <v/>
      </c>
      <c r="M11" s="39">
        <f>'Cash Flow'!M24</f>
        <v/>
      </c>
      <c r="N11" s="39">
        <f>'Cash Flow'!N24</f>
        <v/>
      </c>
      <c r="O11" s="39">
        <f>'Cash Flow'!O24</f>
        <v/>
      </c>
      <c r="P11" s="39">
        <f>'Cash Flow'!P24</f>
        <v/>
      </c>
    </row>
    <row r="12">
      <c r="A12" s="17" t="inlineStr">
        <is>
          <t xml:space="preserve">  Discrepancy (target = 0)</t>
        </is>
      </c>
      <c r="B12" s="61">
        <f>B10-B11</f>
        <v/>
      </c>
      <c r="C12" s="61">
        <f>C10-C11</f>
        <v/>
      </c>
      <c r="D12" s="61">
        <f>D10-D11</f>
        <v/>
      </c>
      <c r="E12" s="61">
        <f>E10-E11</f>
        <v/>
      </c>
      <c r="F12" s="61">
        <f>F10-F11</f>
        <v/>
      </c>
      <c r="G12" s="62">
        <f>G10-G11</f>
        <v/>
      </c>
      <c r="H12" s="62">
        <f>H10-H11</f>
        <v/>
      </c>
      <c r="I12" s="62">
        <f>I10-I11</f>
        <v/>
      </c>
      <c r="J12" s="62">
        <f>J10-J11</f>
        <v/>
      </c>
      <c r="K12" s="62">
        <f>K10-K11</f>
        <v/>
      </c>
      <c r="L12" s="62">
        <f>L10-L11</f>
        <v/>
      </c>
      <c r="M12" s="62">
        <f>M10-M11</f>
        <v/>
      </c>
      <c r="N12" s="62">
        <f>N10-N11</f>
        <v/>
      </c>
      <c r="O12" s="62">
        <f>O10-O11</f>
        <v/>
      </c>
      <c r="P12" s="62">
        <f>P10-P11</f>
        <v/>
      </c>
    </row>
    <row r="14" ht="16" customHeight="1">
      <c r="A14" s="15" t="inlineStr">
        <is>
          <t>RAB INTEGRITY CHECK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>
      <c r="A15" s="17" t="inlineStr">
        <is>
          <t xml:space="preserve">  Closing RAB (RAB sheet)</t>
        </is>
      </c>
      <c r="B15" s="26">
        <f>RAB!B9</f>
        <v/>
      </c>
      <c r="C15" s="26">
        <f>RAB!C9</f>
        <v/>
      </c>
      <c r="D15" s="26">
        <f>RAB!D9</f>
        <v/>
      </c>
      <c r="E15" s="26">
        <f>RAB!E9</f>
        <v/>
      </c>
      <c r="F15" s="26">
        <f>RAB!F9</f>
        <v/>
      </c>
      <c r="G15" s="39">
        <f>RAB!G9</f>
        <v/>
      </c>
      <c r="H15" s="39">
        <f>RAB!H9</f>
        <v/>
      </c>
      <c r="I15" s="39">
        <f>RAB!I9</f>
        <v/>
      </c>
      <c r="J15" s="39">
        <f>RAB!J9</f>
        <v/>
      </c>
      <c r="K15" s="39">
        <f>RAB!K9</f>
        <v/>
      </c>
      <c r="L15" s="39">
        <f>RAB!L9</f>
        <v/>
      </c>
      <c r="M15" s="39">
        <f>RAB!M9</f>
        <v/>
      </c>
      <c r="N15" s="39">
        <f>RAB!N9</f>
        <v/>
      </c>
      <c r="O15" s="39">
        <f>RAB!O9</f>
        <v/>
      </c>
      <c r="P15" s="39">
        <f>RAB!P9</f>
        <v/>
      </c>
    </row>
    <row r="16">
      <c r="A16" s="17" t="inlineStr">
        <is>
          <t xml:space="preserve">  Discrepancy (target = 0)</t>
        </is>
      </c>
      <c r="B16" s="61">
        <f>B15-B15</f>
        <v/>
      </c>
      <c r="C16" s="61">
        <f>C15-C15</f>
        <v/>
      </c>
      <c r="D16" s="61">
        <f>D15-D15</f>
        <v/>
      </c>
      <c r="E16" s="61">
        <f>E15-E15</f>
        <v/>
      </c>
      <c r="F16" s="61">
        <f>F15-F15</f>
        <v/>
      </c>
      <c r="G16" s="62">
        <f>G15-G15</f>
        <v/>
      </c>
      <c r="H16" s="62">
        <f>H15-H15</f>
        <v/>
      </c>
      <c r="I16" s="62">
        <f>I15-I15</f>
        <v/>
      </c>
      <c r="J16" s="62">
        <f>J15-J15</f>
        <v/>
      </c>
      <c r="K16" s="62">
        <f>K15-K15</f>
        <v/>
      </c>
      <c r="L16" s="62">
        <f>L15-L15</f>
        <v/>
      </c>
      <c r="M16" s="62">
        <f>M15-M15</f>
        <v/>
      </c>
      <c r="N16" s="62">
        <f>N15-N15</f>
        <v/>
      </c>
      <c r="O16" s="62">
        <f>O15-O15</f>
        <v/>
      </c>
      <c r="P16" s="62">
        <f>P15-P15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2026-04-05T20:56:34Z</dcterms:created>
  <dcterms:modified xsi:type="dcterms:W3CDTF">2026-04-05T20:56:34Z</dcterms:modified>
</cp:coreProperties>
</file>