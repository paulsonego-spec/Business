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DTM" sheetId="3" state="visible" r:id="rId3"/>
    <sheet name="Project Register v2" sheetId="4" state="visible" r:id="rId4"/>
    <sheet name="Commissioning" sheetId="5" state="visible" r:id="rId5"/>
    <sheet name="Reg Output - Commissioned" sheetId="6" state="visible" r:id="rId6"/>
    <sheet name="New Assets Depn" sheetId="7" state="visible" r:id="rId7"/>
    <sheet name="Depn Summary" sheetId="8" state="visible" r:id="rId8"/>
    <sheet name="Projects" sheetId="9" state="visible" r:id="rId9"/>
    <sheet name="Capex" sheetId="10" state="visible" r:id="rId10"/>
    <sheet name="Fixed Assets" sheetId="11" state="visible" r:id="rId11"/>
    <sheet name="Workforce" sheetId="12" state="visible" r:id="rId12"/>
    <sheet name="Maintenance" sheetId="13" state="visible" r:id="rId13"/>
    <sheet name="REFM" sheetId="14" state="visible" r:id="rId14"/>
    <sheet name="Frontier" sheetId="15" state="visible" r:id="rId15"/>
    <sheet name="RAB" sheetId="16" state="visible" r:id="rId16"/>
    <sheet name="RAB Roll-Forward" sheetId="17" state="visible" r:id="rId17"/>
    <sheet name="PTRM" sheetId="18" state="visible" r:id="rId18"/>
    <sheet name="Dep Tracking" sheetId="19" state="visible" r:id="rId19"/>
    <sheet name="Initiatives" sheetId="20" state="visible" r:id="rId20"/>
    <sheet name="Income Statement" sheetId="21" state="visible" r:id="rId21"/>
    <sheet name="Balance Sheet" sheetId="22" state="visible" r:id="rId22"/>
    <sheet name="Cash Flow" sheetId="23" state="visible" r:id="rId23"/>
    <sheet name="Check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0"/>
    <numFmt numFmtId="166" formatCode="#,##0;(#,##0)"/>
    <numFmt numFmtId="167" formatCode="#,##0;[RED](#,##0)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20"/>
    </font>
    <font>
      <name val="Calibri"/>
      <color rgb="00AAD4F5"/>
      <sz val="13"/>
    </font>
    <font>
      <name val="Calibri"/>
      <b val="1"/>
      <color rgb="00AAD4F5"/>
      <sz val="11"/>
    </font>
    <font>
      <name val="Calibri"/>
      <color rgb="00FFFFFF"/>
      <sz val="11"/>
    </font>
    <font>
      <name val="Calibri"/>
      <b val="1"/>
      <color rgb="00FFD700"/>
      <sz val="12"/>
    </font>
    <font>
      <name val="Calibri"/>
      <b val="1"/>
      <color rgb="00FFD700"/>
      <sz val="10"/>
    </font>
    <font>
      <name val="Calibri"/>
      <color rgb="00CCCCCC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595959"/>
      <sz val="10"/>
    </font>
    <font>
      <name val="Calibri"/>
      <b val="1"/>
      <color rgb="00003366"/>
      <sz val="10"/>
    </font>
    <font>
      <name val="Calibri"/>
      <color rgb="00000000"/>
      <sz val="10"/>
    </font>
    <font>
      <name val="Calibri"/>
      <color rgb="001B6B1B"/>
      <sz val="10"/>
    </font>
    <font>
      <name val="Calibri"/>
      <i val="1"/>
      <color rgb="00595959"/>
      <sz val="10"/>
    </font>
    <font>
      <name val="Calibri"/>
      <i val="1"/>
      <color rgb="00595959"/>
      <sz val="9"/>
    </font>
    <font>
      <name val="Calibri"/>
      <b val="1"/>
      <i val="1"/>
      <color rgb="00595959"/>
      <sz val="10"/>
    </font>
    <font>
      <name val="Calibri"/>
      <b val="1"/>
      <color rgb="00000000"/>
      <sz val="10"/>
    </font>
    <font>
      <name val="Calibri"/>
      <i val="1"/>
      <color rgb="001B6B1B"/>
      <sz val="10"/>
    </font>
  </fonts>
  <fills count="26">
    <fill>
      <patternFill/>
    </fill>
    <fill>
      <patternFill patternType="gray125"/>
    </fill>
    <fill>
      <patternFill patternType="solid">
        <fgColor rgb="00001F4D"/>
      </patternFill>
    </fill>
    <fill>
      <patternFill patternType="solid">
        <fgColor rgb="00FFD700"/>
      </patternFill>
    </fill>
    <fill>
      <patternFill patternType="solid">
        <fgColor rgb="00003366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BF8F00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4B0082"/>
      </patternFill>
    </fill>
    <fill>
      <patternFill patternType="solid">
        <fgColor rgb="001F5C8B"/>
      </patternFill>
    </fill>
    <fill>
      <patternFill patternType="solid">
        <fgColor rgb="004A4A8A"/>
      </patternFill>
    </fill>
    <fill>
      <patternFill patternType="solid">
        <fgColor rgb="002E6B3E"/>
      </patternFill>
    </fill>
    <fill>
      <patternFill patternType="solid">
        <fgColor rgb="008B4513"/>
      </patternFill>
    </fill>
    <fill>
      <patternFill patternType="solid">
        <fgColor rgb="007030A0"/>
      </patternFill>
    </fill>
    <fill>
      <patternFill patternType="solid">
        <fgColor rgb="00FF6600"/>
      </patternFill>
    </fill>
    <fill>
      <patternFill patternType="solid">
        <fgColor rgb="007B3F00"/>
      </patternFill>
    </fill>
    <fill>
      <patternFill patternType="solid">
        <fgColor rgb="000070C0"/>
      </patternFill>
    </fill>
    <fill>
      <patternFill patternType="solid">
        <fgColor rgb="00C6EFCE"/>
      </patternFill>
    </fill>
    <fill>
      <patternFill patternType="solid">
        <fgColor rgb="00B22222"/>
      </patternFill>
    </fill>
    <fill>
      <patternFill patternType="solid">
        <fgColor rgb="00F0F0F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right" vertical="center"/>
    </xf>
    <xf numFmtId="4" fontId="14" fillId="6" borderId="0" applyAlignment="1" pivotButton="0" quotePrefix="0" xfId="0">
      <alignment horizontal="right" vertical="center"/>
    </xf>
    <xf numFmtId="164" fontId="13" fillId="7" borderId="0" applyAlignment="1" pivotButton="0" quotePrefix="0" xfId="0">
      <alignment horizontal="right" vertical="center"/>
    </xf>
    <xf numFmtId="165" fontId="14" fillId="6" borderId="0" applyAlignment="1" pivotButton="0" quotePrefix="0" xfId="0">
      <alignment horizontal="right" vertical="center"/>
    </xf>
    <xf numFmtId="164" fontId="15" fillId="8" borderId="0" applyAlignment="1" pivotButton="0" quotePrefix="0" xfId="0">
      <alignment horizontal="right" vertical="center"/>
    </xf>
    <xf numFmtId="3" fontId="15" fillId="8" borderId="0" applyAlignment="1" pivotButton="0" quotePrefix="0" xfId="0">
      <alignment horizontal="right" vertical="center"/>
    </xf>
    <xf numFmtId="3" fontId="14" fillId="6" borderId="0" applyAlignment="1" pivotButton="0" quotePrefix="0" xfId="0">
      <alignment horizontal="right" vertical="center"/>
    </xf>
    <xf numFmtId="4" fontId="15" fillId="8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14" fillId="6" borderId="0" applyAlignment="1" pivotButton="0" quotePrefix="0" xfId="0">
      <alignment horizontal="right" vertical="center"/>
    </xf>
    <xf numFmtId="0" fontId="16" fillId="9" borderId="0" applyAlignment="1" pivotButton="0" quotePrefix="0" xfId="0">
      <alignment horizontal="left" vertical="center"/>
    </xf>
    <xf numFmtId="10" fontId="15" fillId="8" borderId="0" applyAlignment="1" pivotButton="0" quotePrefix="0" xfId="0">
      <alignment horizontal="right" vertical="center"/>
    </xf>
    <xf numFmtId="10" fontId="14" fillId="6" borderId="0" applyAlignment="1" pivotButton="0" quotePrefix="0" xfId="0">
      <alignment horizontal="right" vertical="center"/>
    </xf>
    <xf numFmtId="10" fontId="13" fillId="7" borderId="0" applyAlignment="1" pivotButton="0" quotePrefix="0" xfId="0">
      <alignment horizontal="right" vertical="center"/>
    </xf>
    <xf numFmtId="10" fontId="17" fillId="8" borderId="0" applyAlignment="1" pivotButton="0" quotePrefix="0" xfId="0">
      <alignment horizontal="right" vertical="center"/>
    </xf>
    <xf numFmtId="10" fontId="18" fillId="7" borderId="0" applyAlignment="1" pivotButton="0" quotePrefix="0" xfId="0">
      <alignment horizontal="right" vertical="center"/>
    </xf>
    <xf numFmtId="3" fontId="13" fillId="7" borderId="0" applyAlignment="1" pivotButton="0" quotePrefix="0" xfId="0">
      <alignment horizontal="right" vertical="center"/>
    </xf>
    <xf numFmtId="0" fontId="9" fillId="10" borderId="0" applyAlignment="1" pivotButton="0" quotePrefix="0" xfId="0">
      <alignment horizontal="left" vertical="center"/>
    </xf>
    <xf numFmtId="0" fontId="12" fillId="11" borderId="0" pivotButton="0" quotePrefix="0" xfId="0"/>
    <xf numFmtId="0" fontId="15" fillId="0" borderId="0" pivotButton="0" quotePrefix="0" xfId="0"/>
    <xf numFmtId="164" fontId="19" fillId="0" borderId="0" applyAlignment="1" pivotButton="0" quotePrefix="0" xfId="0">
      <alignment horizontal="right" vertical="center"/>
    </xf>
    <xf numFmtId="166" fontId="18" fillId="7" borderId="0" applyAlignment="1" pivotButton="0" quotePrefix="0" xfId="0">
      <alignment horizontal="right" vertical="center"/>
    </xf>
    <xf numFmtId="0" fontId="12" fillId="12" borderId="0" pivotButton="0" quotePrefix="0" xfId="0"/>
    <xf numFmtId="0" fontId="12" fillId="6" borderId="0" pivotButton="0" quotePrefix="0" xfId="0"/>
    <xf numFmtId="166" fontId="18" fillId="5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166" fontId="13" fillId="7" borderId="0" applyAlignment="1" pivotButton="0" quotePrefix="0" xfId="0">
      <alignment horizontal="right" vertical="center"/>
    </xf>
    <xf numFmtId="166" fontId="17" fillId="8" borderId="0" applyAlignment="1" pivotButton="0" quotePrefix="0" xfId="0">
      <alignment horizontal="right" vertical="center"/>
    </xf>
    <xf numFmtId="0" fontId="9" fillId="13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left" vertical="center"/>
    </xf>
    <xf numFmtId="0" fontId="0" fillId="4" borderId="0" pivotButton="0" quotePrefix="0" xfId="0"/>
    <xf numFmtId="0" fontId="18" fillId="0" borderId="0" pivotButton="0" quotePrefix="0" xfId="0"/>
    <xf numFmtId="0" fontId="13" fillId="11" borderId="0" applyAlignment="1" pivotButton="0" quotePrefix="0" xfId="0">
      <alignment horizontal="left" vertical="center"/>
    </xf>
    <xf numFmtId="0" fontId="13" fillId="1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9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3" fontId="17" fillId="8" borderId="0" applyAlignment="1" pivotButton="0" quotePrefix="0" xfId="0">
      <alignment horizontal="right" vertical="center"/>
    </xf>
    <xf numFmtId="3" fontId="18" fillId="7" borderId="0" applyAlignment="1" pivotButton="0" quotePrefix="0" xfId="0">
      <alignment horizontal="right" vertical="center"/>
    </xf>
    <xf numFmtId="0" fontId="9" fillId="17" borderId="0" applyAlignment="1" pivotButton="0" quotePrefix="0" xfId="0">
      <alignment horizontal="left" vertical="center"/>
    </xf>
    <xf numFmtId="0" fontId="9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9" fillId="21" borderId="0" applyAlignment="1" pivotButton="0" quotePrefix="0" xfId="0">
      <alignment horizontal="left" vertical="center"/>
    </xf>
    <xf numFmtId="166" fontId="18" fillId="22" borderId="0" applyAlignment="1" pivotButton="0" quotePrefix="0" xfId="0">
      <alignment horizontal="right" vertical="center"/>
    </xf>
    <xf numFmtId="0" fontId="9" fillId="23" borderId="0" applyAlignment="1" pivotButton="0" quotePrefix="0" xfId="0">
      <alignment horizontal="left" vertical="center"/>
    </xf>
    <xf numFmtId="0" fontId="12" fillId="24" borderId="0" pivotButton="0" quotePrefix="0" xfId="0"/>
    <xf numFmtId="0" fontId="0" fillId="24" borderId="0" pivotButton="0" quotePrefix="0" xfId="0"/>
    <xf numFmtId="0" fontId="9" fillId="25" borderId="0" applyAlignment="1" pivotButton="0" quotePrefix="0" xfId="0">
      <alignment horizontal="left" vertical="center"/>
    </xf>
    <xf numFmtId="167" fontId="18" fillId="8" borderId="0" applyAlignment="1" pivotButton="0" quotePrefix="0" xfId="0">
      <alignment horizontal="right" vertical="center"/>
    </xf>
    <xf numFmtId="167" fontId="18" fillId="22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Q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5" customWidth="1" min="2" max="2"/>
    <col width="32" customWidth="1" min="3" max="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42" customHeight="1">
      <c r="A4" s="1" t="n"/>
      <c r="B4" s="2" t="inlineStr">
        <is>
          <t>ELECTRICITY GRID TRANSMISSION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6" customHeight="1">
      <c r="A5" s="1" t="n"/>
      <c r="B5" s="3" t="inlineStr">
        <is>
          <t>THREE-WAY CORPORATE FINANCE MODEL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1" t="n"/>
      <c r="B7" s="4" t="inlineStr">
        <is>
          <t>Australian Energy Regulator (AER) | PTRM | REFM | Frontier | RAB | DTM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3" customHeight="1">
      <c r="A9" s="1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" t="n"/>
      <c r="O9" s="1" t="n"/>
      <c r="P9" s="1" t="n"/>
      <c r="Q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20" customHeight="1">
      <c r="A12" s="1" t="n"/>
      <c r="B12" s="6" t="inlineStr">
        <is>
          <t>Company</t>
        </is>
      </c>
      <c r="C12" s="7" t="inlineStr">
        <is>
          <t>GridCo Transmission Pty Ltd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20" customHeight="1">
      <c r="A14" s="1" t="n"/>
      <c r="B14" s="6" t="inlineStr">
        <is>
          <t>ABN</t>
        </is>
      </c>
      <c r="C14" s="7" t="inlineStr">
        <is>
          <t>12 345 678 901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20" customHeight="1">
      <c r="A16" s="1" t="n"/>
      <c r="B16" s="6" t="inlineStr">
        <is>
          <t>Version</t>
        </is>
      </c>
      <c r="C16" s="7" t="inlineStr">
        <is>
          <t>v1.0  |  AER DTM Integrated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20" customHeight="1">
      <c r="A18" s="1" t="n"/>
      <c r="B18" s="6" t="inlineStr">
        <is>
          <t>Date</t>
        </is>
      </c>
      <c r="C18" s="7" t="inlineStr">
        <is>
          <t>11 May 2026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20" customHeight="1">
      <c r="A20" s="1" t="n"/>
      <c r="B20" s="6" t="inlineStr">
        <is>
          <t>Scope</t>
        </is>
      </c>
      <c r="C20" s="7" t="inlineStr">
        <is>
          <t>FY2019A-FY2023A Historical  |  FY2024E-FY2033E Forecast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20" customHeight="1">
      <c r="A22" s="1" t="n"/>
      <c r="B22" s="6" t="inlineStr">
        <is>
          <t>Reg Periods</t>
        </is>
      </c>
      <c r="C22" s="7" t="inlineStr">
        <is>
          <t>RCP1: FY2024-FY2028  |  RCP2: FY2029-FY2033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20" customHeight="1">
      <c r="A24" s="1" t="n"/>
      <c r="B24" s="6" t="inlineStr">
        <is>
          <t>Jurisdiction</t>
        </is>
      </c>
      <c r="C24" s="7" t="inlineStr">
        <is>
          <t>Australia — AER Regulated Transmission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20" customHeight="1">
      <c r="A26" s="1" t="n"/>
      <c r="B26" s="6" t="inlineStr">
        <is>
          <t>Currency</t>
        </is>
      </c>
      <c r="C26" s="7" t="inlineStr">
        <is>
          <t>AUD Millions (unless stated)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 s="1" t="n"/>
      <c r="B32" s="8" t="inlineStr">
        <is>
          <t>MODEL NAVIGATION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 s="1" t="n"/>
      <c r="B34" s="9" t="inlineStr">
        <is>
          <t>Assumptions</t>
        </is>
      </c>
      <c r="C34" s="10" t="inlineStr">
        <is>
          <t>All inputs — the ONLY cells to change</t>
        </is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 s="1" t="n"/>
      <c r="B35" s="9" t="inlineStr">
        <is>
          <t>DTM</t>
        </is>
      </c>
      <c r="C35" s="10" t="inlineStr">
        <is>
          <t>AER Debt Term Model: 10yr trailing avg cost of debt</t>
        </is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 s="1" t="n"/>
      <c r="B36" s="9" t="inlineStr">
        <is>
          <t>REFM</t>
        </is>
      </c>
      <c r="C36" s="10" t="inlineStr">
        <is>
          <t>Revenue &amp; Expenditure Forecasting Model (opex/capex)</t>
        </is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 s="1" t="n"/>
      <c r="B37" s="9" t="inlineStr">
        <is>
          <t>Frontier</t>
        </is>
      </c>
      <c r="C37" s="10" t="inlineStr">
        <is>
          <t>Frontier efficiency shift and X-factor</t>
        </is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 s="1" t="n"/>
      <c r="B38" s="9" t="inlineStr">
        <is>
          <t>RAB</t>
        </is>
      </c>
      <c r="C38" s="10" t="inlineStr">
        <is>
          <t>Regulatory Asset Base roll-forward</t>
        </is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9" t="inlineStr">
        <is>
          <t>PTRM</t>
        </is>
      </c>
      <c r="C39" s="10" t="inlineStr">
        <is>
          <t>Post Tax Revenue Model — Maximum Allowed Revenue (MAR)</t>
        </is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9" t="inlineStr">
        <is>
          <t>Income Statement</t>
        </is>
      </c>
      <c r="C40" s="10" t="inlineStr">
        <is>
          <t>5yr historical + 10yr forecast P&amp;L</t>
        </is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9" t="inlineStr">
        <is>
          <t>Balance Sheet</t>
        </is>
      </c>
      <c r="C41" s="10" t="inlineStr">
        <is>
          <t>5yr historical + 10yr forecast Balance Sheet</t>
        </is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9" t="inlineStr">
        <is>
          <t>Cash Flow</t>
        </is>
      </c>
      <c r="C42" s="10" t="inlineStr">
        <is>
          <t>5yr historical + 10yr forecast Cash Flow</t>
        </is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9" t="inlineStr">
        <is>
          <t>Checks</t>
        </is>
      </c>
      <c r="C43" s="10" t="inlineStr">
        <is>
          <t>Model integrity: BS, CFS &amp; RAB checks</t>
        </is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Q7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1" t="inlineStr">
        <is>
          <t>ASSUMPTIONS — Electricity Grid Transmission Utility (AER Framework)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WACC &amp; Regulatory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>Post-Tax Nominal WACC (%)</t>
        </is>
      </c>
      <c r="B5" s="18" t="n">
        <v>0.065</v>
      </c>
    </row>
    <row r="6">
      <c r="A6" s="17" t="inlineStr">
        <is>
          <t xml:space="preserve">  Risk-Free Rate (%)</t>
        </is>
      </c>
      <c r="B6" s="18" t="n">
        <v>0.043</v>
      </c>
    </row>
    <row r="7">
      <c r="A7" s="17" t="inlineStr">
        <is>
          <t xml:space="preserve">  Equity Risk Premium (%)</t>
        </is>
      </c>
      <c r="B7" s="18" t="n">
        <v>0.062</v>
      </c>
    </row>
    <row r="8">
      <c r="A8" s="17" t="inlineStr">
        <is>
          <t xml:space="preserve">  Asset Beta</t>
        </is>
      </c>
      <c r="B8" s="19" t="n">
        <v>0.45</v>
      </c>
    </row>
    <row r="9">
      <c r="A9" s="17" t="inlineStr">
        <is>
          <t>Gearing — Debt % of Capital</t>
        </is>
      </c>
      <c r="B9" s="18" t="n">
        <v>0.55</v>
      </c>
    </row>
    <row r="10">
      <c r="A10" s="17" t="inlineStr">
        <is>
          <t>Equity % of Capital</t>
        </is>
      </c>
      <c r="B10" s="20">
        <f>1-B9</f>
        <v/>
      </c>
    </row>
    <row r="11">
      <c r="A11" s="17" t="inlineStr">
        <is>
          <t>Gamma (AER Imputation Credits)</t>
        </is>
      </c>
      <c r="B11" s="21" t="n">
        <v>0.585</v>
      </c>
    </row>
    <row r="12">
      <c r="A12" s="17" t="inlineStr">
        <is>
          <t>Corporate Tax Rate (%)</t>
        </is>
      </c>
      <c r="B12" s="18" t="n">
        <v>0.3</v>
      </c>
    </row>
    <row r="14" ht="16" customHeight="1">
      <c r="A14" s="15" t="inlineStr">
        <is>
          <t>CPI Inflation (%)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>CPI Rate (%)</t>
        </is>
      </c>
      <c r="B15" s="22" t="n">
        <v>0.015</v>
      </c>
      <c r="C15" s="22" t="n">
        <v>0.017</v>
      </c>
      <c r="D15" s="22" t="n">
        <v>0.018</v>
      </c>
      <c r="E15" s="22" t="n">
        <v>0.03</v>
      </c>
      <c r="F15" s="22" t="n">
        <v>0.06</v>
      </c>
      <c r="G15" s="18" t="n">
        <v>0.025</v>
      </c>
      <c r="H15" s="18" t="n">
        <v>0.025</v>
      </c>
      <c r="I15" s="18" t="n">
        <v>0.025</v>
      </c>
      <c r="J15" s="18" t="n">
        <v>0.025</v>
      </c>
      <c r="K15" s="18" t="n">
        <v>0.025</v>
      </c>
      <c r="L15" s="18" t="n">
        <v>0.025</v>
      </c>
      <c r="M15" s="18" t="n">
        <v>0.025</v>
      </c>
      <c r="N15" s="18" t="n">
        <v>0.025</v>
      </c>
      <c r="O15" s="18" t="n">
        <v>0.025</v>
      </c>
      <c r="P15" s="18" t="n">
        <v>0.025</v>
      </c>
    </row>
    <row r="17" ht="16" customHeight="1">
      <c r="A17" s="15" t="inlineStr">
        <is>
          <t>Revenue &amp; Volumes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>Transmission Volume (GWh)</t>
        </is>
      </c>
      <c r="B18" s="23" t="n">
        <v>48000</v>
      </c>
      <c r="C18" s="23" t="n">
        <v>49000</v>
      </c>
      <c r="D18" s="23" t="n">
        <v>50000</v>
      </c>
      <c r="E18" s="23" t="n">
        <v>51000</v>
      </c>
      <c r="F18" s="23" t="n">
        <v>52000</v>
      </c>
      <c r="G18" s="24" t="n">
        <v>52000</v>
      </c>
      <c r="H18" s="24" t="n">
        <v>53000</v>
      </c>
      <c r="I18" s="24" t="n">
        <v>54000</v>
      </c>
      <c r="J18" s="24" t="n">
        <v>55000</v>
      </c>
      <c r="K18" s="24" t="n">
        <v>56000</v>
      </c>
      <c r="L18" s="24" t="n">
        <v>57000</v>
      </c>
      <c r="M18" s="24" t="n">
        <v>58000</v>
      </c>
      <c r="N18" s="24" t="n">
        <v>59000</v>
      </c>
      <c r="O18" s="24" t="n">
        <v>60000</v>
      </c>
      <c r="P18" s="24" t="n">
        <v>61000</v>
      </c>
    </row>
    <row r="19">
      <c r="A19" s="17" t="inlineStr">
        <is>
          <t>Average Tariff ($/MWh)</t>
        </is>
      </c>
      <c r="B19" s="25" t="n">
        <v>12</v>
      </c>
      <c r="C19" s="25" t="n">
        <v>12.3</v>
      </c>
      <c r="D19" s="25" t="n">
        <v>12.7</v>
      </c>
      <c r="E19" s="25" t="n">
        <v>13</v>
      </c>
      <c r="F19" s="25" t="n">
        <v>13.2</v>
      </c>
      <c r="G19" s="19" t="n">
        <v>13.2</v>
      </c>
      <c r="H19" s="19" t="n">
        <v>13.5</v>
      </c>
      <c r="I19" s="19" t="n">
        <v>13.8</v>
      </c>
      <c r="J19" s="19" t="n">
        <v>14.1</v>
      </c>
      <c r="K19" s="19" t="n">
        <v>14.4</v>
      </c>
      <c r="L19" s="19" t="n">
        <v>14.7</v>
      </c>
      <c r="M19" s="19" t="n">
        <v>15</v>
      </c>
      <c r="N19" s="19" t="n">
        <v>15.3</v>
      </c>
      <c r="O19" s="19" t="n">
        <v>15.6</v>
      </c>
      <c r="P19" s="19" t="n">
        <v>15.9</v>
      </c>
    </row>
    <row r="20">
      <c r="A20" s="17" t="inlineStr">
        <is>
          <t>Connection &amp; Access Fees ($M)</t>
        </is>
      </c>
      <c r="B20" s="26" t="n">
        <v>6</v>
      </c>
      <c r="C20" s="26" t="n">
        <v>6.5</v>
      </c>
      <c r="D20" s="26" t="n">
        <v>7</v>
      </c>
      <c r="E20" s="26" t="n">
        <v>7.5</v>
      </c>
      <c r="F20" s="26" t="n">
        <v>8</v>
      </c>
      <c r="G20" s="27" t="n">
        <v>8</v>
      </c>
      <c r="H20" s="27" t="n">
        <v>8.199999999999999</v>
      </c>
      <c r="I20" s="27" t="n">
        <v>8.4</v>
      </c>
      <c r="J20" s="27" t="n">
        <v>8.6</v>
      </c>
      <c r="K20" s="27" t="n">
        <v>8.800000000000001</v>
      </c>
      <c r="L20" s="27" t="n">
        <v>9</v>
      </c>
      <c r="M20" s="27" t="n">
        <v>9.199999999999999</v>
      </c>
      <c r="N20" s="27" t="n">
        <v>9.4</v>
      </c>
      <c r="O20" s="27" t="n">
        <v>9.6</v>
      </c>
      <c r="P20" s="27" t="n">
        <v>9.800000000000001</v>
      </c>
    </row>
    <row r="22" ht="16" customHeight="1">
      <c r="A22" s="15" t="inlineStr">
        <is>
          <t>Opex Forecast Allowances (Nominal $M)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Network O&amp;M</t>
        </is>
      </c>
      <c r="G23" s="27" t="n">
        <v>100</v>
      </c>
      <c r="H23" s="27" t="n">
        <v>102</v>
      </c>
      <c r="I23" s="27" t="n">
        <v>104</v>
      </c>
      <c r="J23" s="27" t="n">
        <v>106</v>
      </c>
      <c r="K23" s="27" t="n">
        <v>108</v>
      </c>
      <c r="L23" s="27" t="n">
        <v>110</v>
      </c>
      <c r="M23" s="27" t="n">
        <v>112</v>
      </c>
      <c r="N23" s="27" t="n">
        <v>114</v>
      </c>
      <c r="O23" s="27" t="n">
        <v>116</v>
      </c>
      <c r="P23" s="27" t="n">
        <v>118</v>
      </c>
    </row>
    <row r="24">
      <c r="A24" s="17" t="inlineStr">
        <is>
          <t xml:space="preserve">  Corporate</t>
        </is>
      </c>
      <c r="G24" s="27" t="n">
        <v>58</v>
      </c>
      <c r="H24" s="27" t="n">
        <v>59</v>
      </c>
      <c r="I24" s="27" t="n">
        <v>60</v>
      </c>
      <c r="J24" s="27" t="n">
        <v>61</v>
      </c>
      <c r="K24" s="27" t="n">
        <v>62</v>
      </c>
      <c r="L24" s="27" t="n">
        <v>63</v>
      </c>
      <c r="M24" s="27" t="n">
        <v>64</v>
      </c>
      <c r="N24" s="27" t="n">
        <v>65</v>
      </c>
      <c r="O24" s="27" t="n">
        <v>66</v>
      </c>
      <c r="P24" s="27" t="n">
        <v>67</v>
      </c>
    </row>
    <row r="25">
      <c r="A25" s="17" t="inlineStr">
        <is>
          <t xml:space="preserve">  Insurance</t>
        </is>
      </c>
      <c r="G25" s="27" t="n">
        <v>20</v>
      </c>
      <c r="H25" s="27" t="n">
        <v>20</v>
      </c>
      <c r="I25" s="27" t="n">
        <v>21</v>
      </c>
      <c r="J25" s="27" t="n">
        <v>21</v>
      </c>
      <c r="K25" s="27" t="n">
        <v>22</v>
      </c>
      <c r="L25" s="27" t="n">
        <v>22</v>
      </c>
      <c r="M25" s="27" t="n">
        <v>23</v>
      </c>
      <c r="N25" s="27" t="n">
        <v>23</v>
      </c>
      <c r="O25" s="27" t="n">
        <v>24</v>
      </c>
      <c r="P25" s="27" t="n">
        <v>24</v>
      </c>
    </row>
    <row r="26">
      <c r="A26" s="17" t="inlineStr">
        <is>
          <t xml:space="preserve">  Regulatory</t>
        </is>
      </c>
      <c r="G26" s="27" t="n">
        <v>10</v>
      </c>
      <c r="H26" s="27" t="n">
        <v>10</v>
      </c>
      <c r="I26" s="27" t="n">
        <v>10</v>
      </c>
      <c r="J26" s="27" t="n">
        <v>10</v>
      </c>
      <c r="K26" s="27" t="n">
        <v>10</v>
      </c>
      <c r="L26" s="27" t="n">
        <v>11</v>
      </c>
      <c r="M26" s="27" t="n">
        <v>11</v>
      </c>
      <c r="N26" s="27" t="n">
        <v>11</v>
      </c>
      <c r="O26" s="27" t="n">
        <v>11</v>
      </c>
      <c r="P26" s="27" t="n">
        <v>11</v>
      </c>
    </row>
    <row r="28" ht="16" customHeight="1">
      <c r="A28" s="15" t="inlineStr">
        <is>
          <t>Capex Programme — Forecast (Nominal $M)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>
      <c r="A29" s="17" t="inlineStr">
        <is>
          <t xml:space="preserve">  Augmentation</t>
        </is>
      </c>
      <c r="G29" s="27" t="n">
        <v>200</v>
      </c>
      <c r="H29" s="27" t="n">
        <v>210</v>
      </c>
      <c r="I29" s="27" t="n">
        <v>220</v>
      </c>
      <c r="J29" s="27" t="n">
        <v>230</v>
      </c>
      <c r="K29" s="27" t="n">
        <v>240</v>
      </c>
      <c r="L29" s="27" t="n">
        <v>250</v>
      </c>
      <c r="M29" s="27" t="n">
        <v>260</v>
      </c>
      <c r="N29" s="27" t="n">
        <v>270</v>
      </c>
      <c r="O29" s="27" t="n">
        <v>280</v>
      </c>
      <c r="P29" s="27" t="n">
        <v>290</v>
      </c>
    </row>
    <row r="30">
      <c r="A30" s="17" t="inlineStr">
        <is>
          <t xml:space="preserve">  Replacement</t>
        </is>
      </c>
      <c r="G30" s="27" t="n">
        <v>160</v>
      </c>
      <c r="H30" s="27" t="n">
        <v>165</v>
      </c>
      <c r="I30" s="27" t="n">
        <v>170</v>
      </c>
      <c r="J30" s="27" t="n">
        <v>175</v>
      </c>
      <c r="K30" s="27" t="n">
        <v>180</v>
      </c>
      <c r="L30" s="27" t="n">
        <v>185</v>
      </c>
      <c r="M30" s="27" t="n">
        <v>190</v>
      </c>
      <c r="N30" s="27" t="n">
        <v>195</v>
      </c>
      <c r="O30" s="27" t="n">
        <v>200</v>
      </c>
      <c r="P30" s="27" t="n">
        <v>205</v>
      </c>
    </row>
    <row r="31">
      <c r="A31" s="17" t="inlineStr">
        <is>
          <t xml:space="preserve">  Connections</t>
        </is>
      </c>
      <c r="G31" s="27" t="n">
        <v>45</v>
      </c>
      <c r="H31" s="27" t="n">
        <v>47</v>
      </c>
      <c r="I31" s="27" t="n">
        <v>48</v>
      </c>
      <c r="J31" s="27" t="n">
        <v>50</v>
      </c>
      <c r="K31" s="27" t="n">
        <v>52</v>
      </c>
      <c r="L31" s="27" t="n">
        <v>54</v>
      </c>
      <c r="M31" s="27" t="n">
        <v>56</v>
      </c>
      <c r="N31" s="27" t="n">
        <v>58</v>
      </c>
      <c r="O31" s="27" t="n">
        <v>60</v>
      </c>
      <c r="P31" s="27" t="n">
        <v>62</v>
      </c>
    </row>
    <row r="33" ht="16" customHeight="1">
      <c r="A33" s="15" t="inlineStr">
        <is>
          <t>Regulatory Asset Base — Opening Balances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>
      <c r="A34" s="17" t="inlineStr">
        <is>
          <t>Opening RAB — FY2019 ($M)</t>
        </is>
      </c>
      <c r="B34" s="27" t="n">
        <v>4800</v>
      </c>
    </row>
    <row r="35">
      <c r="A35" s="17" t="inlineStr">
        <is>
          <t>Standard Asset Life (years)</t>
        </is>
      </c>
      <c r="B35" s="24" t="n">
        <v>40</v>
      </c>
    </row>
    <row r="36">
      <c r="A36" s="17" t="inlineStr">
        <is>
          <t>Opening Accum. Regulatory Dep. ($M)</t>
        </is>
      </c>
      <c r="B36" s="27" t="n">
        <v>1200</v>
      </c>
    </row>
    <row r="38" ht="16" customHeight="1">
      <c r="A38" s="15" t="inlineStr">
        <is>
          <t>Accounting PP&amp;E — Opening Balances (FY2019)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>
      <c r="A39" s="17" t="inlineStr">
        <is>
          <t>Opening Gross PP&amp;E ($M)</t>
        </is>
      </c>
      <c r="B39" s="27" t="n">
        <v>7800</v>
      </c>
    </row>
    <row r="40">
      <c r="A40" s="17" t="inlineStr">
        <is>
          <t>Opening Accum. D&amp;A ($M)</t>
        </is>
      </c>
      <c r="B40" s="27" t="n">
        <v>2600</v>
      </c>
    </row>
    <row r="41">
      <c r="A41" s="17" t="inlineStr">
        <is>
          <t>Accounting Asset Life (years)</t>
        </is>
      </c>
      <c r="B41" s="24" t="n">
        <v>35</v>
      </c>
    </row>
    <row r="43" ht="16" customHeight="1">
      <c r="A43" s="15" t="inlineStr">
        <is>
          <t>Financing Parameters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>
      <c r="A44" s="17" t="inlineStr">
        <is>
          <t>Opening LT Debt — FY2019 ($M)</t>
        </is>
      </c>
      <c r="B44" s="27" t="n">
        <v>3500</v>
      </c>
    </row>
    <row r="45">
      <c r="A45" s="17" t="inlineStr">
        <is>
          <t>Opening Cash — FY2019 ($M)</t>
        </is>
      </c>
      <c r="B45" s="27" t="n">
        <v>120</v>
      </c>
    </row>
    <row r="46">
      <c r="A46" s="17" t="inlineStr">
        <is>
          <t>Nominal Cost of Debt (%)</t>
        </is>
      </c>
      <c r="B46" s="18" t="n">
        <v>0.055</v>
      </c>
    </row>
    <row r="47">
      <c r="A47" s="17" t="inlineStr">
        <is>
          <t>Dividend Payout Ratio (%)</t>
        </is>
      </c>
      <c r="B47" s="18" t="n">
        <v>0.7</v>
      </c>
    </row>
    <row r="48">
      <c r="A48" s="17" t="inlineStr">
        <is>
          <t xml:space="preserve">  Annual Debt Issuances ($M)</t>
        </is>
      </c>
      <c r="G48" s="27" t="n">
        <v>350</v>
      </c>
      <c r="H48" s="27" t="n">
        <v>360</v>
      </c>
      <c r="I48" s="27" t="n">
        <v>370</v>
      </c>
      <c r="J48" s="27" t="n">
        <v>380</v>
      </c>
      <c r="K48" s="27" t="n">
        <v>390</v>
      </c>
      <c r="L48" s="27" t="n">
        <v>400</v>
      </c>
      <c r="M48" s="27" t="n">
        <v>410</v>
      </c>
      <c r="N48" s="27" t="n">
        <v>420</v>
      </c>
      <c r="O48" s="27" t="n">
        <v>430</v>
      </c>
      <c r="P48" s="27" t="n">
        <v>440</v>
      </c>
    </row>
    <row r="49">
      <c r="A49" s="17" t="inlineStr">
        <is>
          <t xml:space="preserve">  Annual Debt Repayments ($M)</t>
        </is>
      </c>
      <c r="G49" s="27" t="n">
        <v>280</v>
      </c>
      <c r="H49" s="27" t="n">
        <v>285</v>
      </c>
      <c r="I49" s="27" t="n">
        <v>290</v>
      </c>
      <c r="J49" s="27" t="n">
        <v>295</v>
      </c>
      <c r="K49" s="27" t="n">
        <v>300</v>
      </c>
      <c r="L49" s="27" t="n">
        <v>305</v>
      </c>
      <c r="M49" s="27" t="n">
        <v>310</v>
      </c>
      <c r="N49" s="27" t="n">
        <v>315</v>
      </c>
      <c r="O49" s="27" t="n">
        <v>320</v>
      </c>
      <c r="P49" s="27" t="n">
        <v>325</v>
      </c>
    </row>
    <row r="51" ht="16" customHeight="1">
      <c r="A51" s="15" t="inlineStr">
        <is>
          <t>Working Capital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17" t="inlineStr">
        <is>
          <t>Debtor Days (DSO)</t>
        </is>
      </c>
      <c r="B52" s="24" t="n">
        <v>45</v>
      </c>
    </row>
    <row r="53">
      <c r="A53" s="17" t="inlineStr">
        <is>
          <t>Creditor Days (DPO)</t>
        </is>
      </c>
      <c r="B53" s="24" t="n">
        <v>30</v>
      </c>
    </row>
    <row r="55" ht="16" customHeight="1">
      <c r="A55" s="15" t="inlineStr">
        <is>
          <t>Frontier Efficiency Parameters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>
      <c r="A56" s="17" t="inlineStr">
        <is>
          <t>Annual Frontier Shift (%)</t>
        </is>
      </c>
      <c r="B56" s="18" t="n">
        <v>0.005</v>
      </c>
    </row>
    <row r="57">
      <c r="A57" s="17" t="inlineStr">
        <is>
          <t>Opex Efficiency vs Frontier (%)</t>
        </is>
      </c>
      <c r="B57" s="18" t="n">
        <v>0.95</v>
      </c>
    </row>
    <row r="58">
      <c r="A58" s="17" t="inlineStr">
        <is>
          <t>Capex Efficiency vs Frontier (%)</t>
        </is>
      </c>
      <c r="B58" s="18" t="n">
        <v>0.95</v>
      </c>
    </row>
    <row r="60" ht="16" customHeight="1">
      <c r="A60" s="15" t="inlineStr">
        <is>
          <t>Historical Opex — Actual ($M Nominal)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</row>
    <row r="61">
      <c r="A61" s="17" t="inlineStr">
        <is>
          <t xml:space="preserve">  Network O&amp;M</t>
        </is>
      </c>
      <c r="B61" s="26" t="n">
        <v>89</v>
      </c>
      <c r="C61" s="26" t="n">
        <v>92</v>
      </c>
      <c r="D61" s="26" t="n">
        <v>95</v>
      </c>
      <c r="E61" s="26" t="n">
        <v>97</v>
      </c>
      <c r="F61" s="26" t="n">
        <v>100</v>
      </c>
    </row>
    <row r="62">
      <c r="A62" s="17" t="inlineStr">
        <is>
          <t xml:space="preserve">  Corporate</t>
        </is>
      </c>
      <c r="B62" s="26" t="n">
        <v>52</v>
      </c>
      <c r="C62" s="26" t="n">
        <v>53</v>
      </c>
      <c r="D62" s="26" t="n">
        <v>54</v>
      </c>
      <c r="E62" s="26" t="n">
        <v>56</v>
      </c>
      <c r="F62" s="26" t="n">
        <v>57</v>
      </c>
    </row>
    <row r="63">
      <c r="A63" s="17" t="inlineStr">
        <is>
          <t xml:space="preserve">  Insurance</t>
        </is>
      </c>
      <c r="B63" s="26" t="n">
        <v>18</v>
      </c>
      <c r="C63" s="26" t="n">
        <v>18</v>
      </c>
      <c r="D63" s="26" t="n">
        <v>18</v>
      </c>
      <c r="E63" s="26" t="n">
        <v>19</v>
      </c>
      <c r="F63" s="26" t="n">
        <v>19</v>
      </c>
    </row>
    <row r="64">
      <c r="A64" s="17" t="inlineStr">
        <is>
          <t xml:space="preserve">  Regulatory</t>
        </is>
      </c>
      <c r="B64" s="26" t="n">
        <v>9</v>
      </c>
      <c r="C64" s="26" t="n">
        <v>9</v>
      </c>
      <c r="D64" s="26" t="n">
        <v>9</v>
      </c>
      <c r="E64" s="26" t="n">
        <v>9</v>
      </c>
      <c r="F64" s="26" t="n">
        <v>9</v>
      </c>
    </row>
    <row r="66" ht="16" customHeight="1">
      <c r="A66" s="15" t="inlineStr">
        <is>
          <t>Historical Capex — Actual ($M Nominal)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</row>
    <row r="67">
      <c r="A67" s="17" t="inlineStr">
        <is>
          <t xml:space="preserve">  Augmentation</t>
        </is>
      </c>
      <c r="B67" s="26" t="n">
        <v>150</v>
      </c>
      <c r="C67" s="26" t="n">
        <v>165</v>
      </c>
      <c r="D67" s="26" t="n">
        <v>175</v>
      </c>
      <c r="E67" s="26" t="n">
        <v>185</v>
      </c>
      <c r="F67" s="26" t="n">
        <v>195</v>
      </c>
    </row>
    <row r="68">
      <c r="A68" s="17" t="inlineStr">
        <is>
          <t xml:space="preserve">  Replacement</t>
        </is>
      </c>
      <c r="B68" s="26" t="n">
        <v>100</v>
      </c>
      <c r="C68" s="26" t="n">
        <v>105</v>
      </c>
      <c r="D68" s="26" t="n">
        <v>115</v>
      </c>
      <c r="E68" s="26" t="n">
        <v>130</v>
      </c>
      <c r="F68" s="26" t="n">
        <v>145</v>
      </c>
    </row>
    <row r="69">
      <c r="A69" s="17" t="inlineStr">
        <is>
          <t xml:space="preserve">  Connections</t>
        </is>
      </c>
      <c r="B69" s="26" t="n">
        <v>30</v>
      </c>
      <c r="C69" s="26" t="n">
        <v>35</v>
      </c>
      <c r="D69" s="26" t="n">
        <v>40</v>
      </c>
      <c r="E69" s="26" t="n">
        <v>40</v>
      </c>
      <c r="F69" s="26" t="n">
        <v>40</v>
      </c>
    </row>
    <row r="71" ht="16" customHeight="1">
      <c r="A71" s="15" t="inlineStr">
        <is>
          <t>Historical Financing — Actual ($M)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</row>
    <row r="72">
      <c r="A72" s="17" t="inlineStr">
        <is>
          <t xml:space="preserve">  Debt Issuances</t>
        </is>
      </c>
      <c r="B72" s="26" t="n">
        <v>300</v>
      </c>
      <c r="C72" s="26" t="n">
        <v>310</v>
      </c>
      <c r="D72" s="26" t="n">
        <v>320</v>
      </c>
      <c r="E72" s="26" t="n">
        <v>340</v>
      </c>
      <c r="F72" s="26" t="n">
        <v>360</v>
      </c>
    </row>
    <row r="73">
      <c r="A73" s="17" t="inlineStr">
        <is>
          <t xml:space="preserve">  Debt Repayments</t>
        </is>
      </c>
      <c r="B73" s="26" t="n">
        <v>240</v>
      </c>
      <c r="C73" s="26" t="n">
        <v>245</v>
      </c>
      <c r="D73" s="26" t="n">
        <v>250</v>
      </c>
      <c r="E73" s="26" t="n">
        <v>260</v>
      </c>
      <c r="F73" s="26" t="n">
        <v>270</v>
      </c>
    </row>
    <row r="75" ht="16" customHeight="1">
      <c r="A75" s="15" t="inlineStr">
        <is>
          <t>Opening Balance Sheet (FY2019) — $M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</row>
    <row r="76">
      <c r="A76" s="17" t="inlineStr">
        <is>
          <t>Opening Retained Earnings ($M)</t>
        </is>
      </c>
      <c r="B76" s="27" t="n">
        <v>420</v>
      </c>
    </row>
    <row r="77">
      <c r="A77" s="17" t="inlineStr">
        <is>
          <t>Opening Share Capital ($M)</t>
        </is>
      </c>
      <c r="B77" s="27" t="n">
        <v>880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U2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6" customHeight="1">
      <c r="A1" s="11" t="inlineStr">
        <is>
          <t>DEBT TERM MODEL (DTM) — AER 10-Year Trailing Average Cost of Debt</t>
        </is>
      </c>
    </row>
    <row r="2" ht="20" customHeight="1">
      <c r="A2" s="12" t="inlineStr">
        <is>
          <t>% Rate</t>
        </is>
      </c>
      <c r="B2" s="13" t="inlineStr">
        <is>
          <t>FY2014A</t>
        </is>
      </c>
      <c r="C2" s="13" t="inlineStr">
        <is>
          <t>FY2015A</t>
        </is>
      </c>
      <c r="D2" s="13" t="inlineStr">
        <is>
          <t>FY2016A</t>
        </is>
      </c>
      <c r="E2" s="13" t="inlineStr">
        <is>
          <t>FY2017A</t>
        </is>
      </c>
      <c r="F2" s="13" t="inlineStr">
        <is>
          <t>FY2018A</t>
        </is>
      </c>
      <c r="G2" s="13" t="inlineStr">
        <is>
          <t>FY2019A</t>
        </is>
      </c>
      <c r="H2" s="13" t="inlineStr">
        <is>
          <t>FY2020A</t>
        </is>
      </c>
      <c r="I2" s="13" t="inlineStr">
        <is>
          <t>FY2021A</t>
        </is>
      </c>
      <c r="J2" s="13" t="inlineStr">
        <is>
          <t>FY2022A</t>
        </is>
      </c>
      <c r="K2" s="13" t="inlineStr">
        <is>
          <t>FY2023A</t>
        </is>
      </c>
      <c r="L2" s="14" t="inlineStr">
        <is>
          <t>FY2024E</t>
        </is>
      </c>
      <c r="M2" s="14" t="inlineStr">
        <is>
          <t>FY2025E</t>
        </is>
      </c>
      <c r="N2" s="14" t="inlineStr">
        <is>
          <t>FY2026E</t>
        </is>
      </c>
      <c r="O2" s="14" t="inlineStr">
        <is>
          <t>FY2027E</t>
        </is>
      </c>
      <c r="P2" s="14" t="inlineStr">
        <is>
          <t>FY2028E</t>
        </is>
      </c>
      <c r="Q2" s="14" t="inlineStr">
        <is>
          <t>FY2029E</t>
        </is>
      </c>
      <c r="R2" s="14" t="inlineStr">
        <is>
          <t>FY2030E</t>
        </is>
      </c>
      <c r="S2" s="14" t="inlineStr">
        <is>
          <t>FY2031E</t>
        </is>
      </c>
      <c r="T2" s="14" t="inlineStr">
        <is>
          <t>FY2032E</t>
        </is>
      </c>
      <c r="U2" s="14" t="inlineStr">
        <is>
          <t>FY2033E</t>
        </is>
      </c>
    </row>
    <row r="3">
      <c r="A3" s="28" t="inlineStr">
        <is>
          <t>AER methodology: WACD = 10-year trailing average of benchmark bond yields (CGS + DRP + issuance costs). Each year 1/10th of total debt is re-priced at prevailing market rates.</t>
        </is>
      </c>
    </row>
    <row r="5">
      <c r="A5" s="15" t="inlineStr">
        <is>
          <t>COMPONENT YIELDS BY VINTAGE YEAR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</row>
    <row r="6">
      <c r="A6" s="17" t="inlineStr">
        <is>
          <t xml:space="preserve">  Risk-Free Rate — 10yr CGS Yield (%)</t>
        </is>
      </c>
      <c r="B6" s="29" t="n">
        <v>0.035</v>
      </c>
      <c r="C6" s="29" t="n">
        <v>0.03</v>
      </c>
      <c r="D6" s="29" t="n">
        <v>0.025</v>
      </c>
      <c r="E6" s="29" t="n">
        <v>0.027</v>
      </c>
      <c r="F6" s="29" t="n">
        <v>0.029</v>
      </c>
      <c r="G6" s="29" t="n">
        <v>0.017</v>
      </c>
      <c r="H6" s="29" t="n">
        <v>0.009000000000000001</v>
      </c>
      <c r="I6" s="29" t="n">
        <v>0.018</v>
      </c>
      <c r="J6" s="29" t="n">
        <v>0.03700000000000001</v>
      </c>
      <c r="K6" s="29" t="n">
        <v>0.043</v>
      </c>
      <c r="L6" s="30" t="n">
        <v>0.04</v>
      </c>
      <c r="M6" s="30" t="n">
        <v>0.038</v>
      </c>
      <c r="N6" s="30" t="n">
        <v>0.03700000000000001</v>
      </c>
      <c r="O6" s="30" t="n">
        <v>0.036</v>
      </c>
      <c r="P6" s="30" t="n">
        <v>0.036</v>
      </c>
      <c r="Q6" s="30" t="n">
        <v>0.036</v>
      </c>
      <c r="R6" s="30" t="n">
        <v>0.036</v>
      </c>
      <c r="S6" s="30" t="n">
        <v>0.036</v>
      </c>
      <c r="T6" s="30" t="n">
        <v>0.036</v>
      </c>
      <c r="U6" s="30" t="n">
        <v>0.036</v>
      </c>
    </row>
    <row r="9">
      <c r="A9" s="17" t="inlineStr">
        <is>
          <t xml:space="preserve">  Debt Risk Premium — BBB+ Spread (%)</t>
        </is>
      </c>
      <c r="B9" s="29" t="n">
        <v>0.017</v>
      </c>
      <c r="C9" s="29" t="n">
        <v>0.018</v>
      </c>
      <c r="D9" s="29" t="n">
        <v>0.02</v>
      </c>
      <c r="E9" s="29" t="n">
        <v>0.019</v>
      </c>
      <c r="F9" s="29" t="n">
        <v>0.018</v>
      </c>
      <c r="G9" s="29" t="n">
        <v>0.02</v>
      </c>
      <c r="H9" s="29" t="n">
        <v>0.025</v>
      </c>
      <c r="I9" s="29" t="n">
        <v>0.022</v>
      </c>
      <c r="J9" s="29" t="n">
        <v>0.02</v>
      </c>
      <c r="K9" s="29" t="n">
        <v>0.019</v>
      </c>
      <c r="L9" s="30" t="n">
        <v>0.018</v>
      </c>
      <c r="M9" s="30" t="n">
        <v>0.0175</v>
      </c>
      <c r="N9" s="30" t="n">
        <v>0.017</v>
      </c>
      <c r="O9" s="30" t="n">
        <v>0.017</v>
      </c>
      <c r="P9" s="30" t="n">
        <v>0.017</v>
      </c>
      <c r="Q9" s="30" t="n">
        <v>0.017</v>
      </c>
      <c r="R9" s="30" t="n">
        <v>0.017</v>
      </c>
      <c r="S9" s="30" t="n">
        <v>0.017</v>
      </c>
      <c r="T9" s="30" t="n">
        <v>0.017</v>
      </c>
      <c r="U9" s="30" t="n">
        <v>0.017</v>
      </c>
    </row>
    <row r="11">
      <c r="A11" s="15" t="inlineStr">
        <is>
          <t>BENCHMARK YIELD CALCULATION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7" t="inlineStr">
        <is>
          <t xml:space="preserve">  Benchmark Yield (RFR + DRP, %)</t>
        </is>
      </c>
      <c r="B12" s="29">
        <f>B6+B9</f>
        <v/>
      </c>
      <c r="C12" s="29">
        <f>C6+C9</f>
        <v/>
      </c>
      <c r="D12" s="29">
        <f>D6+D9</f>
        <v/>
      </c>
      <c r="E12" s="29">
        <f>E6+E9</f>
        <v/>
      </c>
      <c r="F12" s="29">
        <f>F6+F9</f>
        <v/>
      </c>
      <c r="G12" s="29">
        <f>G6+G9</f>
        <v/>
      </c>
      <c r="H12" s="29">
        <f>H6+H9</f>
        <v/>
      </c>
      <c r="I12" s="29">
        <f>I6+I9</f>
        <v/>
      </c>
      <c r="J12" s="29">
        <f>J6+J9</f>
        <v/>
      </c>
      <c r="K12" s="29">
        <f>K6+K9</f>
        <v/>
      </c>
      <c r="L12" s="31">
        <f>L6+L9</f>
        <v/>
      </c>
      <c r="M12" s="31">
        <f>M6+M9</f>
        <v/>
      </c>
      <c r="N12" s="31">
        <f>N6+N9</f>
        <v/>
      </c>
      <c r="O12" s="31">
        <f>O6+O9</f>
        <v/>
      </c>
      <c r="P12" s="31">
        <f>P6+P9</f>
        <v/>
      </c>
      <c r="Q12" s="31">
        <f>Q6+Q9</f>
        <v/>
      </c>
      <c r="R12" s="31">
        <f>R6+R9</f>
        <v/>
      </c>
      <c r="S12" s="31">
        <f>S6+S9</f>
        <v/>
      </c>
      <c r="T12" s="31">
        <f>T6+T9</f>
        <v/>
      </c>
      <c r="U12" s="31">
        <f>U6+U9</f>
        <v/>
      </c>
    </row>
    <row r="13">
      <c r="A13" s="17" t="inlineStr">
        <is>
          <t xml:space="preserve">  + Issuance Costs (%)</t>
        </is>
      </c>
      <c r="B13" s="29" t="n">
        <v>0.00125</v>
      </c>
      <c r="C13" s="29" t="n">
        <v>0.00125</v>
      </c>
      <c r="D13" s="29" t="n">
        <v>0.00125</v>
      </c>
      <c r="E13" s="29" t="n">
        <v>0.00125</v>
      </c>
      <c r="F13" s="29" t="n">
        <v>0.00125</v>
      </c>
      <c r="G13" s="29" t="n">
        <v>0.00125</v>
      </c>
      <c r="H13" s="29" t="n">
        <v>0.00125</v>
      </c>
      <c r="I13" s="29" t="n">
        <v>0.00125</v>
      </c>
      <c r="J13" s="29" t="n">
        <v>0.00125</v>
      </c>
      <c r="K13" s="29" t="n">
        <v>0.00125</v>
      </c>
      <c r="L13" s="31" t="n">
        <v>0.00125</v>
      </c>
      <c r="M13" s="31" t="n">
        <v>0.00125</v>
      </c>
      <c r="N13" s="31" t="n">
        <v>0.00125</v>
      </c>
      <c r="O13" s="31" t="n">
        <v>0.00125</v>
      </c>
      <c r="P13" s="31" t="n">
        <v>0.00125</v>
      </c>
      <c r="Q13" s="31" t="n">
        <v>0.00125</v>
      </c>
      <c r="R13" s="31" t="n">
        <v>0.00125</v>
      </c>
      <c r="S13" s="31" t="n">
        <v>0.00125</v>
      </c>
      <c r="T13" s="31" t="n">
        <v>0.00125</v>
      </c>
      <c r="U13" s="31" t="n">
        <v>0.00125</v>
      </c>
    </row>
    <row r="14">
      <c r="A14" s="17" t="inlineStr">
        <is>
          <t xml:space="preserve">  Total Benchmark Cost of Debt (%)</t>
        </is>
      </c>
      <c r="B14" s="32">
        <f>B12+B13</f>
        <v/>
      </c>
      <c r="C14" s="32">
        <f>C12+C13</f>
        <v/>
      </c>
      <c r="D14" s="32">
        <f>D12+D13</f>
        <v/>
      </c>
      <c r="E14" s="32">
        <f>E12+E13</f>
        <v/>
      </c>
      <c r="F14" s="32">
        <f>F12+F13</f>
        <v/>
      </c>
      <c r="G14" s="32">
        <f>G12+G13</f>
        <v/>
      </c>
      <c r="H14" s="32">
        <f>H12+H13</f>
        <v/>
      </c>
      <c r="I14" s="32">
        <f>I12+I13</f>
        <v/>
      </c>
      <c r="J14" s="32">
        <f>J12+J13</f>
        <v/>
      </c>
      <c r="K14" s="32">
        <f>K12+K13</f>
        <v/>
      </c>
      <c r="L14" s="33">
        <f>L12+L13</f>
        <v/>
      </c>
      <c r="M14" s="33">
        <f>M12+M13</f>
        <v/>
      </c>
      <c r="N14" s="33">
        <f>N12+N13</f>
        <v/>
      </c>
      <c r="O14" s="33">
        <f>O12+O13</f>
        <v/>
      </c>
      <c r="P14" s="33">
        <f>P12+P13</f>
        <v/>
      </c>
      <c r="Q14" s="33">
        <f>Q12+Q13</f>
        <v/>
      </c>
      <c r="R14" s="33">
        <f>R12+R13</f>
        <v/>
      </c>
      <c r="S14" s="33">
        <f>S12+S13</f>
        <v/>
      </c>
      <c r="T14" s="33">
        <f>T12+T13</f>
        <v/>
      </c>
      <c r="U14" s="33">
        <f>U12+U13</f>
        <v/>
      </c>
    </row>
    <row r="16">
      <c r="A16" s="15" t="inlineStr">
        <is>
          <t>10-YEAR TRAILING AVERAGE WACD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7" t="inlineStr">
        <is>
          <t xml:space="preserve">  Trailing Avg Cost of Debt (WACD, %)</t>
        </is>
      </c>
      <c r="B17" s="29">
        <f>AVERAGE(B14:B14)</f>
        <v/>
      </c>
      <c r="C17" s="29">
        <f>AVERAGE(B14:C14)</f>
        <v/>
      </c>
      <c r="D17" s="29">
        <f>AVERAGE(B14:D14)</f>
        <v/>
      </c>
      <c r="E17" s="29">
        <f>AVERAGE(B14:E14)</f>
        <v/>
      </c>
      <c r="F17" s="29">
        <f>AVERAGE(B14:F14)</f>
        <v/>
      </c>
      <c r="G17" s="29">
        <f>AVERAGE(B14:G14)</f>
        <v/>
      </c>
      <c r="H17" s="29">
        <f>AVERAGE(B14:H14)</f>
        <v/>
      </c>
      <c r="I17" s="29">
        <f>AVERAGE(B14:I14)</f>
        <v/>
      </c>
      <c r="J17" s="29">
        <f>AVERAGE(B14:J14)</f>
        <v/>
      </c>
      <c r="K17" s="32">
        <f>AVERAGE(B14:K14)</f>
        <v/>
      </c>
      <c r="L17" s="33">
        <f>AVERAGE(C14:L14)</f>
        <v/>
      </c>
      <c r="M17" s="33">
        <f>AVERAGE(D14:M14)</f>
        <v/>
      </c>
      <c r="N17" s="33">
        <f>AVERAGE(E14:N14)</f>
        <v/>
      </c>
      <c r="O17" s="33">
        <f>AVERAGE(F14:O14)</f>
        <v/>
      </c>
      <c r="P17" s="33">
        <f>AVERAGE(G14:P14)</f>
        <v/>
      </c>
      <c r="Q17" s="33">
        <f>AVERAGE(H14:Q14)</f>
        <v/>
      </c>
      <c r="R17" s="33">
        <f>AVERAGE(I14:R14)</f>
        <v/>
      </c>
      <c r="S17" s="33">
        <f>AVERAGE(J14:S14)</f>
        <v/>
      </c>
      <c r="T17" s="33">
        <f>AVERAGE(K14:T14)</f>
        <v/>
      </c>
      <c r="U17" s="33">
        <f>AVERAGE(L14:U14)</f>
        <v/>
      </c>
    </row>
    <row r="18">
      <c r="A18" s="17" t="inlineStr">
        <is>
          <t xml:space="preserve">  No. Vintage Years in Average</t>
        </is>
      </c>
      <c r="B18" s="23" t="n">
        <v>1</v>
      </c>
      <c r="C18" s="23" t="n">
        <v>2</v>
      </c>
      <c r="D18" s="23" t="n">
        <v>3</v>
      </c>
      <c r="E18" s="23" t="n">
        <v>4</v>
      </c>
      <c r="F18" s="23" t="n">
        <v>5</v>
      </c>
      <c r="G18" s="23" t="n">
        <v>6</v>
      </c>
      <c r="H18" s="23" t="n">
        <v>7</v>
      </c>
      <c r="I18" s="23" t="n">
        <v>8</v>
      </c>
      <c r="J18" s="23" t="n">
        <v>9</v>
      </c>
      <c r="K18" s="23" t="n">
        <v>10</v>
      </c>
      <c r="L18" s="34" t="n">
        <v>10</v>
      </c>
      <c r="M18" s="34" t="n">
        <v>10</v>
      </c>
      <c r="N18" s="34" t="n">
        <v>10</v>
      </c>
      <c r="O18" s="34" t="n">
        <v>10</v>
      </c>
      <c r="P18" s="34" t="n">
        <v>10</v>
      </c>
      <c r="Q18" s="34" t="n">
        <v>10</v>
      </c>
      <c r="R18" s="34" t="n">
        <v>10</v>
      </c>
      <c r="S18" s="34" t="n">
        <v>10</v>
      </c>
      <c r="T18" s="34" t="n">
        <v>10</v>
      </c>
      <c r="U18" s="34" t="n">
        <v>10</v>
      </c>
    </row>
    <row r="20">
      <c r="A20" s="15" t="inlineStr">
        <is>
          <t>WACD FEED TO FINANCIAL MODEL (FY2019A-FY2033E)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7" t="inlineStr">
        <is>
          <t xml:space="preserve">  Benchmark WACD for Model Year (%)</t>
        </is>
      </c>
      <c r="G21" s="32">
        <f>G17</f>
        <v/>
      </c>
      <c r="H21" s="32">
        <f>H17</f>
        <v/>
      </c>
      <c r="I21" s="32">
        <f>I17</f>
        <v/>
      </c>
      <c r="J21" s="32">
        <f>J17</f>
        <v/>
      </c>
      <c r="K21" s="32">
        <f>K17</f>
        <v/>
      </c>
      <c r="L21" s="33">
        <f>L17</f>
        <v/>
      </c>
      <c r="M21" s="33">
        <f>M17</f>
        <v/>
      </c>
      <c r="N21" s="33">
        <f>N17</f>
        <v/>
      </c>
      <c r="O21" s="33">
        <f>O17</f>
        <v/>
      </c>
      <c r="P21" s="33">
        <f>P17</f>
        <v/>
      </c>
      <c r="Q21" s="33">
        <f>Q17</f>
        <v/>
      </c>
      <c r="R21" s="33">
        <f>R17</f>
        <v/>
      </c>
      <c r="S21" s="33">
        <f>S17</f>
        <v/>
      </c>
      <c r="T21" s="33">
        <f>T17</f>
        <v/>
      </c>
      <c r="U21" s="33">
        <f>U17</f>
        <v/>
      </c>
    </row>
  </sheetData>
  <mergeCells count="2">
    <mergeCell ref="A1:U1"/>
    <mergeCell ref="A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30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PROJECT REGISTER v2 — 22-AC Allocation Matrix | Reg Split | Commission Date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6" t="inlineStr">
        <is>
          <t>P001 Grid Modernisation Program  |  AUG  |  Budget: $630M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</row>
    <row r="5">
      <c r="A5" s="37" t="inlineStr">
        <is>
          <t xml:space="preserve">    Attributes:  Opening CWIP / Commission FY / %Reg / %Non-Reg / %Trans</t>
        </is>
      </c>
    </row>
    <row r="6">
      <c r="A6" s="17" t="inlineStr">
        <is>
          <t xml:space="preserve">      AC1  Transmission Lines &gt;132kV</t>
        </is>
      </c>
      <c r="B6" s="18" t="n">
        <v>0.4</v>
      </c>
    </row>
    <row r="7">
      <c r="A7" s="17" t="inlineStr">
        <is>
          <t xml:space="preserve">      AC2  Transmission Lines &lt;=132kV</t>
        </is>
      </c>
      <c r="B7" s="18" t="n">
        <v>0</v>
      </c>
    </row>
    <row r="8">
      <c r="A8" s="17" t="inlineStr">
        <is>
          <t xml:space="preserve">      AC3  Underground Cables</t>
        </is>
      </c>
      <c r="B8" s="18" t="n">
        <v>0</v>
      </c>
    </row>
    <row r="9">
      <c r="A9" s="17" t="inlineStr">
        <is>
          <t xml:space="preserve">      AC4  Power Transformers</t>
        </is>
      </c>
      <c r="B9" s="18" t="n">
        <v>0</v>
      </c>
    </row>
    <row r="10">
      <c r="A10" s="17" t="inlineStr">
        <is>
          <t xml:space="preserve">      AC5  Switchgear</t>
        </is>
      </c>
      <c r="B10" s="18" t="n">
        <v>0.2</v>
      </c>
    </row>
    <row r="11">
      <c r="A11" s="17" t="inlineStr">
        <is>
          <t xml:space="preserve">      AC6  Substation Plant</t>
        </is>
      </c>
      <c r="B11" s="18" t="n">
        <v>0.1</v>
      </c>
    </row>
    <row r="12">
      <c r="A12" s="17" t="inlineStr">
        <is>
          <t xml:space="preserve">      AC7  Protection &amp; Control</t>
        </is>
      </c>
      <c r="B12" s="18" t="n">
        <v>0.1</v>
      </c>
    </row>
    <row r="13">
      <c r="A13" s="17" t="inlineStr">
        <is>
          <t xml:space="preserve">      AC8  SCADA</t>
        </is>
      </c>
      <c r="B13" s="18" t="n">
        <v>0.1</v>
      </c>
    </row>
    <row r="14">
      <c r="A14" s="17" t="inlineStr">
        <is>
          <t xml:space="preserve">      AC9  Metering</t>
        </is>
      </c>
      <c r="B14" s="18" t="n">
        <v>0</v>
      </c>
    </row>
    <row r="15">
      <c r="A15" s="17" t="inlineStr">
        <is>
          <t xml:space="preserve">      AC10  Buildings</t>
        </is>
      </c>
      <c r="B15" s="18" t="n">
        <v>0</v>
      </c>
    </row>
    <row r="16">
      <c r="A16" s="17" t="inlineStr">
        <is>
          <t xml:space="preserve">      AC11  Land</t>
        </is>
      </c>
      <c r="B16" s="18" t="n">
        <v>0</v>
      </c>
    </row>
    <row r="17">
      <c r="A17" s="17" t="inlineStr">
        <is>
          <t xml:space="preserve">      AC12  IT Systems</t>
        </is>
      </c>
      <c r="B17" s="18" t="n">
        <v>0.1</v>
      </c>
    </row>
    <row r="18">
      <c r="A18" s="17" t="inlineStr">
        <is>
          <t xml:space="preserve">      AC13  Battery Storage</t>
        </is>
      </c>
      <c r="B18" s="18" t="n">
        <v>0</v>
      </c>
    </row>
    <row r="19">
      <c r="A19" s="17" t="inlineStr">
        <is>
          <t xml:space="preserve">      AC14  Renewable Connection Assets</t>
        </is>
      </c>
      <c r="B19" s="18" t="n">
        <v>0</v>
      </c>
    </row>
    <row r="20">
      <c r="A20" s="17" t="inlineStr">
        <is>
          <t xml:space="preserve">      AC15  Mobile Plant</t>
        </is>
      </c>
      <c r="B20" s="18" t="n">
        <v>0</v>
      </c>
    </row>
    <row r="21">
      <c r="A21" s="17" t="inlineStr">
        <is>
          <t xml:space="preserve">      AC16  Placeholder AC16</t>
        </is>
      </c>
      <c r="B21" s="18" t="n">
        <v>0</v>
      </c>
    </row>
    <row r="22">
      <c r="A22" s="17" t="inlineStr">
        <is>
          <t xml:space="preserve">      AC17  Placeholder AC17</t>
        </is>
      </c>
      <c r="B22" s="18" t="n">
        <v>0</v>
      </c>
    </row>
    <row r="23">
      <c r="A23" s="17" t="inlineStr">
        <is>
          <t xml:space="preserve">      AC18  Placeholder AC18</t>
        </is>
      </c>
      <c r="B23" s="18" t="n">
        <v>0</v>
      </c>
    </row>
    <row r="24">
      <c r="A24" s="17" t="inlineStr">
        <is>
          <t xml:space="preserve">      AC19  Placeholder AC19</t>
        </is>
      </c>
      <c r="B24" s="18" t="n">
        <v>0</v>
      </c>
    </row>
    <row r="25">
      <c r="A25" s="17" t="inlineStr">
        <is>
          <t xml:space="preserve">      AC20  Placeholder AC20</t>
        </is>
      </c>
      <c r="B25" s="18" t="n">
        <v>0</v>
      </c>
    </row>
    <row r="26">
      <c r="A26" s="17" t="inlineStr">
        <is>
          <t xml:space="preserve">      AC21  Placeholder AC21</t>
        </is>
      </c>
      <c r="B26" s="18" t="n">
        <v>0</v>
      </c>
    </row>
    <row r="27">
      <c r="A27" s="17" t="inlineStr">
        <is>
          <t xml:space="preserve">      AC22  Placeholder AC22</t>
        </is>
      </c>
      <c r="B27" s="18" t="n">
        <v>0</v>
      </c>
      <c r="C27" s="38">
        <f>SUM(B6:B27)</f>
        <v/>
      </c>
    </row>
    <row r="28">
      <c r="A28" s="17" t="inlineStr">
        <is>
          <t xml:space="preserve">      % Regulated</t>
        </is>
      </c>
      <c r="B28" s="18" t="n">
        <v>0.85</v>
      </c>
    </row>
    <row r="29">
      <c r="A29" s="17" t="inlineStr">
        <is>
          <t xml:space="preserve">      % Non-Regulated</t>
        </is>
      </c>
      <c r="B29" s="18" t="n">
        <v>0.1</v>
      </c>
    </row>
    <row r="30">
      <c r="A30" s="17" t="inlineStr">
        <is>
          <t xml:space="preserve">      % Transformation</t>
        </is>
      </c>
      <c r="B30" s="18" t="n">
        <v>0.05</v>
      </c>
    </row>
    <row r="31">
      <c r="A31" s="17" t="inlineStr">
        <is>
          <t xml:space="preserve">      Commission FY (CWIP flips to in-service)</t>
        </is>
      </c>
      <c r="B31" s="24" t="n">
        <v>2028</v>
      </c>
    </row>
    <row r="32">
      <c r="A32" s="17" t="inlineStr">
        <is>
          <t xml:space="preserve">    Annual Spend $M (Capex Incurred)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39" t="n">
        <v>90</v>
      </c>
      <c r="H32" s="39" t="n">
        <v>130</v>
      </c>
      <c r="I32" s="39" t="n">
        <v>150</v>
      </c>
      <c r="J32" s="39" t="n">
        <v>120</v>
      </c>
      <c r="K32" s="39" t="n">
        <v>80</v>
      </c>
      <c r="L32" s="39" t="n">
        <v>60</v>
      </c>
      <c r="M32" s="39" t="n">
        <v>0</v>
      </c>
      <c r="N32" s="39" t="n">
        <v>0</v>
      </c>
      <c r="O32" s="39" t="n">
        <v>0</v>
      </c>
      <c r="P32" s="39" t="n">
        <v>0</v>
      </c>
    </row>
    <row r="34">
      <c r="A34" s="40" t="inlineStr">
        <is>
          <t>P002 Substation Upgrades — Zone A  |  REPL  |  Budget: $210M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</row>
    <row r="35">
      <c r="A35" s="37" t="inlineStr">
        <is>
          <t xml:space="preserve">    Attributes:  Opening CWIP / Commission FY / %Reg / %Non-Reg / %Trans</t>
        </is>
      </c>
    </row>
    <row r="36">
      <c r="A36" s="17" t="inlineStr">
        <is>
          <t xml:space="preserve">      AC1  Transmission Lines &gt;132kV</t>
        </is>
      </c>
      <c r="B36" s="18" t="n">
        <v>0</v>
      </c>
    </row>
    <row r="37">
      <c r="A37" s="17" t="inlineStr">
        <is>
          <t xml:space="preserve">      AC2  Transmission Lines &lt;=132kV</t>
        </is>
      </c>
      <c r="B37" s="18" t="n">
        <v>0</v>
      </c>
    </row>
    <row r="38">
      <c r="A38" s="17" t="inlineStr">
        <is>
          <t xml:space="preserve">      AC3  Underground Cables</t>
        </is>
      </c>
      <c r="B38" s="18" t="n">
        <v>0</v>
      </c>
    </row>
    <row r="39">
      <c r="A39" s="17" t="inlineStr">
        <is>
          <t xml:space="preserve">      AC4  Power Transformers</t>
        </is>
      </c>
      <c r="B39" s="18" t="n">
        <v>0.2</v>
      </c>
    </row>
    <row r="40">
      <c r="A40" s="17" t="inlineStr">
        <is>
          <t xml:space="preserve">      AC5  Switchgear</t>
        </is>
      </c>
      <c r="B40" s="18" t="n">
        <v>0.4</v>
      </c>
    </row>
    <row r="41">
      <c r="A41" s="17" t="inlineStr">
        <is>
          <t xml:space="preserve">      AC6  Substation Plant</t>
        </is>
      </c>
      <c r="B41" s="18" t="n">
        <v>0.3</v>
      </c>
    </row>
    <row r="42">
      <c r="A42" s="17" t="inlineStr">
        <is>
          <t xml:space="preserve">      AC7  Protection &amp; Control</t>
        </is>
      </c>
      <c r="B42" s="18" t="n">
        <v>0.1</v>
      </c>
    </row>
    <row r="43">
      <c r="A43" s="17" t="inlineStr">
        <is>
          <t xml:space="preserve">      AC8  SCADA</t>
        </is>
      </c>
      <c r="B43" s="18" t="n">
        <v>0</v>
      </c>
    </row>
    <row r="44">
      <c r="A44" s="17" t="inlineStr">
        <is>
          <t xml:space="preserve">      AC9  Metering</t>
        </is>
      </c>
      <c r="B44" s="18" t="n">
        <v>0</v>
      </c>
    </row>
    <row r="45">
      <c r="A45" s="17" t="inlineStr">
        <is>
          <t xml:space="preserve">      AC10  Buildings</t>
        </is>
      </c>
      <c r="B45" s="18" t="n">
        <v>0</v>
      </c>
    </row>
    <row r="46">
      <c r="A46" s="17" t="inlineStr">
        <is>
          <t xml:space="preserve">      AC11  Land</t>
        </is>
      </c>
      <c r="B46" s="18" t="n">
        <v>0</v>
      </c>
    </row>
    <row r="47">
      <c r="A47" s="17" t="inlineStr">
        <is>
          <t xml:space="preserve">      AC12  IT Systems</t>
        </is>
      </c>
      <c r="B47" s="18" t="n">
        <v>0</v>
      </c>
    </row>
    <row r="48">
      <c r="A48" s="17" t="inlineStr">
        <is>
          <t xml:space="preserve">      AC13  Battery Storage</t>
        </is>
      </c>
      <c r="B48" s="18" t="n">
        <v>0</v>
      </c>
    </row>
    <row r="49">
      <c r="A49" s="17" t="inlineStr">
        <is>
          <t xml:space="preserve">      AC14  Renewable Connection Assets</t>
        </is>
      </c>
      <c r="B49" s="18" t="n">
        <v>0</v>
      </c>
    </row>
    <row r="50">
      <c r="A50" s="17" t="inlineStr">
        <is>
          <t xml:space="preserve">      AC15  Mobile Plant</t>
        </is>
      </c>
      <c r="B50" s="18" t="n">
        <v>0</v>
      </c>
    </row>
    <row r="51">
      <c r="A51" s="17" t="inlineStr">
        <is>
          <t xml:space="preserve">      AC16  Placeholder AC16</t>
        </is>
      </c>
      <c r="B51" s="18" t="n">
        <v>0</v>
      </c>
    </row>
    <row r="52">
      <c r="A52" s="17" t="inlineStr">
        <is>
          <t xml:space="preserve">      AC17  Placeholder AC17</t>
        </is>
      </c>
      <c r="B52" s="18" t="n">
        <v>0</v>
      </c>
    </row>
    <row r="53">
      <c r="A53" s="17" t="inlineStr">
        <is>
          <t xml:space="preserve">      AC18  Placeholder AC18</t>
        </is>
      </c>
      <c r="B53" s="18" t="n">
        <v>0</v>
      </c>
    </row>
    <row r="54">
      <c r="A54" s="17" t="inlineStr">
        <is>
          <t xml:space="preserve">      AC19  Placeholder AC19</t>
        </is>
      </c>
      <c r="B54" s="18" t="n">
        <v>0</v>
      </c>
    </row>
    <row r="55">
      <c r="A55" s="17" t="inlineStr">
        <is>
          <t xml:space="preserve">      AC20  Placeholder AC20</t>
        </is>
      </c>
      <c r="B55" s="18" t="n">
        <v>0</v>
      </c>
    </row>
    <row r="56">
      <c r="A56" s="17" t="inlineStr">
        <is>
          <t xml:space="preserve">      AC21  Placeholder AC21</t>
        </is>
      </c>
      <c r="B56" s="18" t="n">
        <v>0</v>
      </c>
    </row>
    <row r="57">
      <c r="A57" s="17" t="inlineStr">
        <is>
          <t xml:space="preserve">      AC22  Placeholder AC22</t>
        </is>
      </c>
      <c r="B57" s="18" t="n">
        <v>0</v>
      </c>
      <c r="C57" s="38">
        <f>SUM(B36:B57)</f>
        <v/>
      </c>
    </row>
    <row r="58">
      <c r="A58" s="17" t="inlineStr">
        <is>
          <t xml:space="preserve">      % Regulated</t>
        </is>
      </c>
      <c r="B58" s="18" t="n">
        <v>1</v>
      </c>
    </row>
    <row r="59">
      <c r="A59" s="17" t="inlineStr">
        <is>
          <t xml:space="preserve">      % Non-Regulated</t>
        </is>
      </c>
      <c r="B59" s="18" t="n">
        <v>0</v>
      </c>
    </row>
    <row r="60">
      <c r="A60" s="17" t="inlineStr">
        <is>
          <t xml:space="preserve">      % Transformation</t>
        </is>
      </c>
      <c r="B60" s="18" t="n">
        <v>0</v>
      </c>
    </row>
    <row r="61">
      <c r="A61" s="17" t="inlineStr">
        <is>
          <t xml:space="preserve">      Commission FY (CWIP flips to in-service)</t>
        </is>
      </c>
      <c r="B61" s="24" t="n">
        <v>2026</v>
      </c>
    </row>
    <row r="62">
      <c r="A62" s="17" t="inlineStr">
        <is>
          <t xml:space="preserve">    Annual Spend $M (Capex Incurred)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39" t="n">
        <v>70</v>
      </c>
      <c r="H62" s="39" t="n">
        <v>90</v>
      </c>
      <c r="I62" s="39" t="n">
        <v>50</v>
      </c>
      <c r="J62" s="39" t="n">
        <v>0</v>
      </c>
      <c r="K62" s="39" t="n">
        <v>0</v>
      </c>
      <c r="L62" s="39" t="n">
        <v>0</v>
      </c>
      <c r="M62" s="39" t="n">
        <v>0</v>
      </c>
      <c r="N62" s="39" t="n">
        <v>0</v>
      </c>
      <c r="O62" s="39" t="n">
        <v>0</v>
      </c>
      <c r="P62" s="39" t="n">
        <v>0</v>
      </c>
    </row>
    <row r="64">
      <c r="A64" s="36" t="inlineStr">
        <is>
          <t>P003 HVDC Interconnect (Stage 1)  |  AUG  |  Budget: $480M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>
      <c r="A65" s="37" t="inlineStr">
        <is>
          <t xml:space="preserve">    Attributes:  Opening CWIP / Commission FY / %Reg / %Non-Reg / %Trans</t>
        </is>
      </c>
    </row>
    <row r="66">
      <c r="A66" s="17" t="inlineStr">
        <is>
          <t xml:space="preserve">      AC1  Transmission Lines &gt;132kV</t>
        </is>
      </c>
      <c r="B66" s="18" t="n">
        <v>0.5</v>
      </c>
    </row>
    <row r="67">
      <c r="A67" s="17" t="inlineStr">
        <is>
          <t xml:space="preserve">      AC2  Transmission Lines &lt;=132kV</t>
        </is>
      </c>
      <c r="B67" s="18" t="n">
        <v>0</v>
      </c>
    </row>
    <row r="68">
      <c r="A68" s="17" t="inlineStr">
        <is>
          <t xml:space="preserve">      AC3  Underground Cables</t>
        </is>
      </c>
      <c r="B68" s="18" t="n">
        <v>0.2</v>
      </c>
    </row>
    <row r="69">
      <c r="A69" s="17" t="inlineStr">
        <is>
          <t xml:space="preserve">      AC4  Power Transformers</t>
        </is>
      </c>
      <c r="B69" s="18" t="n">
        <v>0.2</v>
      </c>
    </row>
    <row r="70">
      <c r="A70" s="17" t="inlineStr">
        <is>
          <t xml:space="preserve">      AC5  Switchgear</t>
        </is>
      </c>
      <c r="B70" s="18" t="n">
        <v>0.05</v>
      </c>
    </row>
    <row r="71">
      <c r="A71" s="17" t="inlineStr">
        <is>
          <t xml:space="preserve">      AC6  Substation Plant</t>
        </is>
      </c>
      <c r="B71" s="18" t="n">
        <v>0</v>
      </c>
    </row>
    <row r="72">
      <c r="A72" s="17" t="inlineStr">
        <is>
          <t xml:space="preserve">      AC7  Protection &amp; Control</t>
        </is>
      </c>
      <c r="B72" s="18" t="n">
        <v>0</v>
      </c>
    </row>
    <row r="73">
      <c r="A73" s="17" t="inlineStr">
        <is>
          <t xml:space="preserve">      AC8  SCADA</t>
        </is>
      </c>
      <c r="B73" s="18" t="n">
        <v>0.05</v>
      </c>
    </row>
    <row r="74">
      <c r="A74" s="17" t="inlineStr">
        <is>
          <t xml:space="preserve">      AC9  Metering</t>
        </is>
      </c>
      <c r="B74" s="18" t="n">
        <v>0</v>
      </c>
    </row>
    <row r="75">
      <c r="A75" s="17" t="inlineStr">
        <is>
          <t xml:space="preserve">      AC10  Buildings</t>
        </is>
      </c>
      <c r="B75" s="18" t="n">
        <v>0</v>
      </c>
    </row>
    <row r="76">
      <c r="A76" s="17" t="inlineStr">
        <is>
          <t xml:space="preserve">      AC11  Land</t>
        </is>
      </c>
      <c r="B76" s="18" t="n">
        <v>0</v>
      </c>
    </row>
    <row r="77">
      <c r="A77" s="17" t="inlineStr">
        <is>
          <t xml:space="preserve">      AC12  IT Systems</t>
        </is>
      </c>
      <c r="B77" s="18" t="n">
        <v>0</v>
      </c>
    </row>
    <row r="78">
      <c r="A78" s="17" t="inlineStr">
        <is>
          <t xml:space="preserve">      AC13  Battery Storage</t>
        </is>
      </c>
      <c r="B78" s="18" t="n">
        <v>0</v>
      </c>
    </row>
    <row r="79">
      <c r="A79" s="17" t="inlineStr">
        <is>
          <t xml:space="preserve">      AC14  Renewable Connection Assets</t>
        </is>
      </c>
      <c r="B79" s="18" t="n">
        <v>0</v>
      </c>
    </row>
    <row r="80">
      <c r="A80" s="17" t="inlineStr">
        <is>
          <t xml:space="preserve">      AC15  Mobile Plant</t>
        </is>
      </c>
      <c r="B80" s="18" t="n">
        <v>0</v>
      </c>
    </row>
    <row r="81">
      <c r="A81" s="17" t="inlineStr">
        <is>
          <t xml:space="preserve">      AC16  Placeholder AC16</t>
        </is>
      </c>
      <c r="B81" s="18" t="n">
        <v>0</v>
      </c>
    </row>
    <row r="82">
      <c r="A82" s="17" t="inlineStr">
        <is>
          <t xml:space="preserve">      AC17  Placeholder AC17</t>
        </is>
      </c>
      <c r="B82" s="18" t="n">
        <v>0</v>
      </c>
    </row>
    <row r="83">
      <c r="A83" s="17" t="inlineStr">
        <is>
          <t xml:space="preserve">      AC18  Placeholder AC18</t>
        </is>
      </c>
      <c r="B83" s="18" t="n">
        <v>0</v>
      </c>
    </row>
    <row r="84">
      <c r="A84" s="17" t="inlineStr">
        <is>
          <t xml:space="preserve">      AC19  Placeholder AC19</t>
        </is>
      </c>
      <c r="B84" s="18" t="n">
        <v>0</v>
      </c>
    </row>
    <row r="85">
      <c r="A85" s="17" t="inlineStr">
        <is>
          <t xml:space="preserve">      AC20  Placeholder AC20</t>
        </is>
      </c>
      <c r="B85" s="18" t="n">
        <v>0</v>
      </c>
    </row>
    <row r="86">
      <c r="A86" s="17" t="inlineStr">
        <is>
          <t xml:space="preserve">      AC21  Placeholder AC21</t>
        </is>
      </c>
      <c r="B86" s="18" t="n">
        <v>0</v>
      </c>
    </row>
    <row r="87">
      <c r="A87" s="17" t="inlineStr">
        <is>
          <t xml:space="preserve">      AC22  Placeholder AC22</t>
        </is>
      </c>
      <c r="B87" s="18" t="n">
        <v>0</v>
      </c>
      <c r="C87" s="38">
        <f>SUM(B66:B87)</f>
        <v/>
      </c>
    </row>
    <row r="88">
      <c r="A88" s="17" t="inlineStr">
        <is>
          <t xml:space="preserve">      % Regulated</t>
        </is>
      </c>
      <c r="B88" s="18" t="n">
        <v>0.9</v>
      </c>
    </row>
    <row r="89">
      <c r="A89" s="17" t="inlineStr">
        <is>
          <t xml:space="preserve">      % Non-Regulated</t>
        </is>
      </c>
      <c r="B89" s="18" t="n">
        <v>0</v>
      </c>
    </row>
    <row r="90">
      <c r="A90" s="17" t="inlineStr">
        <is>
          <t xml:space="preserve">      % Transformation</t>
        </is>
      </c>
      <c r="B90" s="18" t="n">
        <v>0.1</v>
      </c>
    </row>
    <row r="91">
      <c r="A91" s="17" t="inlineStr">
        <is>
          <t xml:space="preserve">      Commission FY (CWIP flips to in-service)</t>
        </is>
      </c>
      <c r="B91" s="24" t="n">
        <v>2029</v>
      </c>
    </row>
    <row r="92">
      <c r="A92" s="17" t="inlineStr">
        <is>
          <t xml:space="preserve">    Annual Spend $M (Capex Incurred)</t>
        </is>
      </c>
      <c r="B92" s="26" t="n">
        <v>0</v>
      </c>
      <c r="C92" s="26" t="n">
        <v>0</v>
      </c>
      <c r="D92" s="26" t="n">
        <v>0</v>
      </c>
      <c r="E92" s="26" t="n">
        <v>0</v>
      </c>
      <c r="F92" s="26" t="n">
        <v>0</v>
      </c>
      <c r="G92" s="39" t="n">
        <v>0</v>
      </c>
      <c r="H92" s="39" t="n">
        <v>60</v>
      </c>
      <c r="I92" s="39" t="n">
        <v>120</v>
      </c>
      <c r="J92" s="39" t="n">
        <v>150</v>
      </c>
      <c r="K92" s="39" t="n">
        <v>120</v>
      </c>
      <c r="L92" s="39" t="n">
        <v>30</v>
      </c>
      <c r="M92" s="39" t="n">
        <v>0</v>
      </c>
      <c r="N92" s="39" t="n">
        <v>0</v>
      </c>
      <c r="O92" s="39" t="n">
        <v>0</v>
      </c>
      <c r="P92" s="39" t="n">
        <v>0</v>
      </c>
    </row>
    <row r="94">
      <c r="A94" s="41" t="inlineStr">
        <is>
          <t>P004 New Connection — Wind Farm A  |  CONN  |  Budget: $45M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</row>
    <row r="95">
      <c r="A95" s="37" t="inlineStr">
        <is>
          <t xml:space="preserve">    Attributes:  Opening CWIP / Commission FY / %Reg / %Non-Reg / %Trans</t>
        </is>
      </c>
    </row>
    <row r="96">
      <c r="A96" s="17" t="inlineStr">
        <is>
          <t xml:space="preserve">      AC1  Transmission Lines &gt;132kV</t>
        </is>
      </c>
      <c r="B96" s="18" t="n">
        <v>0.2</v>
      </c>
    </row>
    <row r="97">
      <c r="A97" s="17" t="inlineStr">
        <is>
          <t xml:space="preserve">      AC2  Transmission Lines &lt;=132kV</t>
        </is>
      </c>
      <c r="B97" s="18" t="n">
        <v>0</v>
      </c>
    </row>
    <row r="98">
      <c r="A98" s="17" t="inlineStr">
        <is>
          <t xml:space="preserve">      AC3  Underground Cables</t>
        </is>
      </c>
      <c r="B98" s="18" t="n">
        <v>0</v>
      </c>
    </row>
    <row r="99">
      <c r="A99" s="17" t="inlineStr">
        <is>
          <t xml:space="preserve">      AC4  Power Transformers</t>
        </is>
      </c>
      <c r="B99" s="18" t="n">
        <v>0</v>
      </c>
    </row>
    <row r="100">
      <c r="A100" s="17" t="inlineStr">
        <is>
          <t xml:space="preserve">      AC5  Switchgear</t>
        </is>
      </c>
      <c r="B100" s="18" t="n">
        <v>0.1</v>
      </c>
    </row>
    <row r="101">
      <c r="A101" s="17" t="inlineStr">
        <is>
          <t xml:space="preserve">      AC6  Substation Plant</t>
        </is>
      </c>
      <c r="B101" s="18" t="n">
        <v>0</v>
      </c>
    </row>
    <row r="102">
      <c r="A102" s="17" t="inlineStr">
        <is>
          <t xml:space="preserve">      AC7  Protection &amp; Control</t>
        </is>
      </c>
      <c r="B102" s="18" t="n">
        <v>0</v>
      </c>
    </row>
    <row r="103">
      <c r="A103" s="17" t="inlineStr">
        <is>
          <t xml:space="preserve">      AC8  SCADA</t>
        </is>
      </c>
      <c r="B103" s="18" t="n">
        <v>0</v>
      </c>
    </row>
    <row r="104">
      <c r="A104" s="17" t="inlineStr">
        <is>
          <t xml:space="preserve">      AC9  Metering</t>
        </is>
      </c>
      <c r="B104" s="18" t="n">
        <v>0.1</v>
      </c>
    </row>
    <row r="105">
      <c r="A105" s="17" t="inlineStr">
        <is>
          <t xml:space="preserve">      AC10  Buildings</t>
        </is>
      </c>
      <c r="B105" s="18" t="n">
        <v>0</v>
      </c>
    </row>
    <row r="106">
      <c r="A106" s="17" t="inlineStr">
        <is>
          <t xml:space="preserve">      AC11  Land</t>
        </is>
      </c>
      <c r="B106" s="18" t="n">
        <v>0</v>
      </c>
    </row>
    <row r="107">
      <c r="A107" s="17" t="inlineStr">
        <is>
          <t xml:space="preserve">      AC12  IT Systems</t>
        </is>
      </c>
      <c r="B107" s="18" t="n">
        <v>0</v>
      </c>
    </row>
    <row r="108">
      <c r="A108" s="17" t="inlineStr">
        <is>
          <t xml:space="preserve">      AC13  Battery Storage</t>
        </is>
      </c>
      <c r="B108" s="18" t="n">
        <v>0</v>
      </c>
    </row>
    <row r="109">
      <c r="A109" s="17" t="inlineStr">
        <is>
          <t xml:space="preserve">      AC14  Renewable Connection Assets</t>
        </is>
      </c>
      <c r="B109" s="18" t="n">
        <v>0.6</v>
      </c>
    </row>
    <row r="110">
      <c r="A110" s="17" t="inlineStr">
        <is>
          <t xml:space="preserve">      AC15  Mobile Plant</t>
        </is>
      </c>
      <c r="B110" s="18" t="n">
        <v>0</v>
      </c>
    </row>
    <row r="111">
      <c r="A111" s="17" t="inlineStr">
        <is>
          <t xml:space="preserve">      AC16  Placeholder AC16</t>
        </is>
      </c>
      <c r="B111" s="18" t="n">
        <v>0</v>
      </c>
    </row>
    <row r="112">
      <c r="A112" s="17" t="inlineStr">
        <is>
          <t xml:space="preserve">      AC17  Placeholder AC17</t>
        </is>
      </c>
      <c r="B112" s="18" t="n">
        <v>0</v>
      </c>
    </row>
    <row r="113">
      <c r="A113" s="17" t="inlineStr">
        <is>
          <t xml:space="preserve">      AC18  Placeholder AC18</t>
        </is>
      </c>
      <c r="B113" s="18" t="n">
        <v>0</v>
      </c>
    </row>
    <row r="114">
      <c r="A114" s="17" t="inlineStr">
        <is>
          <t xml:space="preserve">      AC19  Placeholder AC19</t>
        </is>
      </c>
      <c r="B114" s="18" t="n">
        <v>0</v>
      </c>
    </row>
    <row r="115">
      <c r="A115" s="17" t="inlineStr">
        <is>
          <t xml:space="preserve">      AC20  Placeholder AC20</t>
        </is>
      </c>
      <c r="B115" s="18" t="n">
        <v>0</v>
      </c>
    </row>
    <row r="116">
      <c r="A116" s="17" t="inlineStr">
        <is>
          <t xml:space="preserve">      AC21  Placeholder AC21</t>
        </is>
      </c>
      <c r="B116" s="18" t="n">
        <v>0</v>
      </c>
    </row>
    <row r="117">
      <c r="A117" s="17" t="inlineStr">
        <is>
          <t xml:space="preserve">      AC22  Placeholder AC22</t>
        </is>
      </c>
      <c r="B117" s="18" t="n">
        <v>0</v>
      </c>
      <c r="C117" s="38">
        <f>SUM(B96:B117)</f>
        <v/>
      </c>
    </row>
    <row r="118">
      <c r="A118" s="17" t="inlineStr">
        <is>
          <t xml:space="preserve">      % Regulated</t>
        </is>
      </c>
      <c r="B118" s="18" t="n">
        <v>1</v>
      </c>
    </row>
    <row r="119">
      <c r="A119" s="17" t="inlineStr">
        <is>
          <t xml:space="preserve">      % Non-Regulated</t>
        </is>
      </c>
      <c r="B119" s="18" t="n">
        <v>0</v>
      </c>
    </row>
    <row r="120">
      <c r="A120" s="17" t="inlineStr">
        <is>
          <t xml:space="preserve">      % Transformation</t>
        </is>
      </c>
      <c r="B120" s="18" t="n">
        <v>0</v>
      </c>
    </row>
    <row r="121">
      <c r="A121" s="17" t="inlineStr">
        <is>
          <t xml:space="preserve">      Commission FY (CWIP flips to in-service)</t>
        </is>
      </c>
      <c r="B121" s="24" t="n">
        <v>2025</v>
      </c>
    </row>
    <row r="122">
      <c r="A122" s="17" t="inlineStr">
        <is>
          <t xml:space="preserve">    Annual Spend $M (Capex Incurred)</t>
        </is>
      </c>
      <c r="B122" s="26" t="n">
        <v>0</v>
      </c>
      <c r="C122" s="26" t="n">
        <v>0</v>
      </c>
      <c r="D122" s="26" t="n">
        <v>0</v>
      </c>
      <c r="E122" s="26" t="n">
        <v>0</v>
      </c>
      <c r="F122" s="26" t="n">
        <v>0</v>
      </c>
      <c r="G122" s="39" t="n">
        <v>25</v>
      </c>
      <c r="H122" s="39" t="n">
        <v>20</v>
      </c>
      <c r="I122" s="39" t="n">
        <v>0</v>
      </c>
      <c r="J122" s="39" t="n">
        <v>0</v>
      </c>
      <c r="K122" s="39" t="n">
        <v>0</v>
      </c>
      <c r="L122" s="39" t="n">
        <v>0</v>
      </c>
      <c r="M122" s="39" t="n">
        <v>0</v>
      </c>
      <c r="N122" s="39" t="n">
        <v>0</v>
      </c>
      <c r="O122" s="39" t="n">
        <v>0</v>
      </c>
      <c r="P122" s="39" t="n">
        <v>0</v>
      </c>
    </row>
    <row r="124">
      <c r="A124" s="40" t="inlineStr">
        <is>
          <t>P005 Transformer Replacement Program  |  REPL  |  Budget: $350M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>
      <c r="A125" s="37" t="inlineStr">
        <is>
          <t xml:space="preserve">    Attributes:  Opening CWIP / Commission FY / %Reg / %Non-Reg / %Trans</t>
        </is>
      </c>
    </row>
    <row r="126">
      <c r="A126" s="17" t="inlineStr">
        <is>
          <t xml:space="preserve">      AC1  Transmission Lines &gt;132kV</t>
        </is>
      </c>
      <c r="B126" s="18" t="n">
        <v>0</v>
      </c>
    </row>
    <row r="127">
      <c r="A127" s="17" t="inlineStr">
        <is>
          <t xml:space="preserve">      AC2  Transmission Lines &lt;=132kV</t>
        </is>
      </c>
      <c r="B127" s="18" t="n">
        <v>0</v>
      </c>
    </row>
    <row r="128">
      <c r="A128" s="17" t="inlineStr">
        <is>
          <t xml:space="preserve">      AC3  Underground Cables</t>
        </is>
      </c>
      <c r="B128" s="18" t="n">
        <v>0</v>
      </c>
    </row>
    <row r="129">
      <c r="A129" s="17" t="inlineStr">
        <is>
          <t xml:space="preserve">      AC4  Power Transformers</t>
        </is>
      </c>
      <c r="B129" s="18" t="n">
        <v>0.8</v>
      </c>
    </row>
    <row r="130">
      <c r="A130" s="17" t="inlineStr">
        <is>
          <t xml:space="preserve">      AC5  Switchgear</t>
        </is>
      </c>
      <c r="B130" s="18" t="n">
        <v>0.1</v>
      </c>
    </row>
    <row r="131">
      <c r="A131" s="17" t="inlineStr">
        <is>
          <t xml:space="preserve">      AC6  Substation Plant</t>
        </is>
      </c>
      <c r="B131" s="18" t="n">
        <v>0</v>
      </c>
    </row>
    <row r="132">
      <c r="A132" s="17" t="inlineStr">
        <is>
          <t xml:space="preserve">      AC7  Protection &amp; Control</t>
        </is>
      </c>
      <c r="B132" s="18" t="n">
        <v>0.1</v>
      </c>
    </row>
    <row r="133">
      <c r="A133" s="17" t="inlineStr">
        <is>
          <t xml:space="preserve">      AC8  SCADA</t>
        </is>
      </c>
      <c r="B133" s="18" t="n">
        <v>0</v>
      </c>
    </row>
    <row r="134">
      <c r="A134" s="17" t="inlineStr">
        <is>
          <t xml:space="preserve">      AC9  Metering</t>
        </is>
      </c>
      <c r="B134" s="18" t="n">
        <v>0</v>
      </c>
    </row>
    <row r="135">
      <c r="A135" s="17" t="inlineStr">
        <is>
          <t xml:space="preserve">      AC10  Buildings</t>
        </is>
      </c>
      <c r="B135" s="18" t="n">
        <v>0</v>
      </c>
    </row>
    <row r="136">
      <c r="A136" s="17" t="inlineStr">
        <is>
          <t xml:space="preserve">      AC11  Land</t>
        </is>
      </c>
      <c r="B136" s="18" t="n">
        <v>0</v>
      </c>
    </row>
    <row r="137">
      <c r="A137" s="17" t="inlineStr">
        <is>
          <t xml:space="preserve">      AC12  IT Systems</t>
        </is>
      </c>
      <c r="B137" s="18" t="n">
        <v>0</v>
      </c>
    </row>
    <row r="138">
      <c r="A138" s="17" t="inlineStr">
        <is>
          <t xml:space="preserve">      AC13  Battery Storage</t>
        </is>
      </c>
      <c r="B138" s="18" t="n">
        <v>0</v>
      </c>
    </row>
    <row r="139">
      <c r="A139" s="17" t="inlineStr">
        <is>
          <t xml:space="preserve">      AC14  Renewable Connection Assets</t>
        </is>
      </c>
      <c r="B139" s="18" t="n">
        <v>0</v>
      </c>
    </row>
    <row r="140">
      <c r="A140" s="17" t="inlineStr">
        <is>
          <t xml:space="preserve">      AC15  Mobile Plant</t>
        </is>
      </c>
      <c r="B140" s="18" t="n">
        <v>0</v>
      </c>
    </row>
    <row r="141">
      <c r="A141" s="17" t="inlineStr">
        <is>
          <t xml:space="preserve">      AC16  Placeholder AC16</t>
        </is>
      </c>
      <c r="B141" s="18" t="n">
        <v>0</v>
      </c>
    </row>
    <row r="142">
      <c r="A142" s="17" t="inlineStr">
        <is>
          <t xml:space="preserve">      AC17  Placeholder AC17</t>
        </is>
      </c>
      <c r="B142" s="18" t="n">
        <v>0</v>
      </c>
    </row>
    <row r="143">
      <c r="A143" s="17" t="inlineStr">
        <is>
          <t xml:space="preserve">      AC18  Placeholder AC18</t>
        </is>
      </c>
      <c r="B143" s="18" t="n">
        <v>0</v>
      </c>
    </row>
    <row r="144">
      <c r="A144" s="17" t="inlineStr">
        <is>
          <t xml:space="preserve">      AC19  Placeholder AC19</t>
        </is>
      </c>
      <c r="B144" s="18" t="n">
        <v>0</v>
      </c>
    </row>
    <row r="145">
      <c r="A145" s="17" t="inlineStr">
        <is>
          <t xml:space="preserve">      AC20  Placeholder AC20</t>
        </is>
      </c>
      <c r="B145" s="18" t="n">
        <v>0</v>
      </c>
    </row>
    <row r="146">
      <c r="A146" s="17" t="inlineStr">
        <is>
          <t xml:space="preserve">      AC21  Placeholder AC21</t>
        </is>
      </c>
      <c r="B146" s="18" t="n">
        <v>0</v>
      </c>
    </row>
    <row r="147">
      <c r="A147" s="17" t="inlineStr">
        <is>
          <t xml:space="preserve">      AC22  Placeholder AC22</t>
        </is>
      </c>
      <c r="B147" s="18" t="n">
        <v>0</v>
      </c>
      <c r="C147" s="38">
        <f>SUM(B126:B147)</f>
        <v/>
      </c>
    </row>
    <row r="148">
      <c r="A148" s="17" t="inlineStr">
        <is>
          <t xml:space="preserve">      % Regulated</t>
        </is>
      </c>
      <c r="B148" s="18" t="n">
        <v>1</v>
      </c>
    </row>
    <row r="149">
      <c r="A149" s="17" t="inlineStr">
        <is>
          <t xml:space="preserve">      % Non-Regulated</t>
        </is>
      </c>
      <c r="B149" s="18" t="n">
        <v>0</v>
      </c>
    </row>
    <row r="150">
      <c r="A150" s="17" t="inlineStr">
        <is>
          <t xml:space="preserve">      % Transformation</t>
        </is>
      </c>
      <c r="B150" s="18" t="n">
        <v>0</v>
      </c>
    </row>
    <row r="151">
      <c r="A151" s="17" t="inlineStr">
        <is>
          <t xml:space="preserve">      Commission FY (CWIP flips to in-service)</t>
        </is>
      </c>
      <c r="B151" s="24" t="n">
        <v>2031</v>
      </c>
    </row>
    <row r="152">
      <c r="A152" s="17" t="inlineStr">
        <is>
          <t xml:space="preserve">    Annual Spend $M (Capex Incurred)</t>
        </is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39" t="n">
        <v>35</v>
      </c>
      <c r="H152" s="39" t="n">
        <v>40</v>
      </c>
      <c r="I152" s="39" t="n">
        <v>45</v>
      </c>
      <c r="J152" s="39" t="n">
        <v>50</v>
      </c>
      <c r="K152" s="39" t="n">
        <v>55</v>
      </c>
      <c r="L152" s="39" t="n">
        <v>55</v>
      </c>
      <c r="M152" s="39" t="n">
        <v>50</v>
      </c>
      <c r="N152" s="39" t="n">
        <v>20</v>
      </c>
      <c r="O152" s="39" t="n">
        <v>0</v>
      </c>
      <c r="P152" s="39" t="n">
        <v>0</v>
      </c>
    </row>
    <row r="154">
      <c r="A154" s="40" t="inlineStr">
        <is>
          <t>P006 Protection Relay Upgrade  |  REPL  |  Budget: $120M</t>
        </is>
      </c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</row>
    <row r="155">
      <c r="A155" s="37" t="inlineStr">
        <is>
          <t xml:space="preserve">    Attributes:  Opening CWIP / Commission FY / %Reg / %Non-Reg / %Trans</t>
        </is>
      </c>
    </row>
    <row r="156">
      <c r="A156" s="17" t="inlineStr">
        <is>
          <t xml:space="preserve">      AC1  Transmission Lines &gt;132kV</t>
        </is>
      </c>
      <c r="B156" s="18" t="n">
        <v>0</v>
      </c>
    </row>
    <row r="157">
      <c r="A157" s="17" t="inlineStr">
        <is>
          <t xml:space="preserve">      AC2  Transmission Lines &lt;=132kV</t>
        </is>
      </c>
      <c r="B157" s="18" t="n">
        <v>0</v>
      </c>
    </row>
    <row r="158">
      <c r="A158" s="17" t="inlineStr">
        <is>
          <t xml:space="preserve">      AC3  Underground Cables</t>
        </is>
      </c>
      <c r="B158" s="18" t="n">
        <v>0</v>
      </c>
    </row>
    <row r="159">
      <c r="A159" s="17" t="inlineStr">
        <is>
          <t xml:space="preserve">      AC4  Power Transformers</t>
        </is>
      </c>
      <c r="B159" s="18" t="n">
        <v>0</v>
      </c>
    </row>
    <row r="160">
      <c r="A160" s="17" t="inlineStr">
        <is>
          <t xml:space="preserve">      AC5  Switchgear</t>
        </is>
      </c>
      <c r="B160" s="18" t="n">
        <v>0</v>
      </c>
    </row>
    <row r="161">
      <c r="A161" s="17" t="inlineStr">
        <is>
          <t xml:space="preserve">      AC6  Substation Plant</t>
        </is>
      </c>
      <c r="B161" s="18" t="n">
        <v>0</v>
      </c>
    </row>
    <row r="162">
      <c r="A162" s="17" t="inlineStr">
        <is>
          <t xml:space="preserve">      AC7  Protection &amp; Control</t>
        </is>
      </c>
      <c r="B162" s="18" t="n">
        <v>0.7</v>
      </c>
    </row>
    <row r="163">
      <c r="A163" s="17" t="inlineStr">
        <is>
          <t xml:space="preserve">      AC8  SCADA</t>
        </is>
      </c>
      <c r="B163" s="18" t="n">
        <v>0.2</v>
      </c>
    </row>
    <row r="164">
      <c r="A164" s="17" t="inlineStr">
        <is>
          <t xml:space="preserve">      AC9  Metering</t>
        </is>
      </c>
      <c r="B164" s="18" t="n">
        <v>0.1</v>
      </c>
    </row>
    <row r="165">
      <c r="A165" s="17" t="inlineStr">
        <is>
          <t xml:space="preserve">      AC10  Buildings</t>
        </is>
      </c>
      <c r="B165" s="18" t="n">
        <v>0</v>
      </c>
    </row>
    <row r="166">
      <c r="A166" s="17" t="inlineStr">
        <is>
          <t xml:space="preserve">      AC11  Land</t>
        </is>
      </c>
      <c r="B166" s="18" t="n">
        <v>0</v>
      </c>
    </row>
    <row r="167">
      <c r="A167" s="17" t="inlineStr">
        <is>
          <t xml:space="preserve">      AC12  IT Systems</t>
        </is>
      </c>
      <c r="B167" s="18" t="n">
        <v>0</v>
      </c>
    </row>
    <row r="168">
      <c r="A168" s="17" t="inlineStr">
        <is>
          <t xml:space="preserve">      AC13  Battery Storage</t>
        </is>
      </c>
      <c r="B168" s="18" t="n">
        <v>0</v>
      </c>
    </row>
    <row r="169">
      <c r="A169" s="17" t="inlineStr">
        <is>
          <t xml:space="preserve">      AC14  Renewable Connection Assets</t>
        </is>
      </c>
      <c r="B169" s="18" t="n">
        <v>0</v>
      </c>
    </row>
    <row r="170">
      <c r="A170" s="17" t="inlineStr">
        <is>
          <t xml:space="preserve">      AC15  Mobile Plant</t>
        </is>
      </c>
      <c r="B170" s="18" t="n">
        <v>0</v>
      </c>
    </row>
    <row r="171">
      <c r="A171" s="17" t="inlineStr">
        <is>
          <t xml:space="preserve">      AC16  Placeholder AC16</t>
        </is>
      </c>
      <c r="B171" s="18" t="n">
        <v>0</v>
      </c>
    </row>
    <row r="172">
      <c r="A172" s="17" t="inlineStr">
        <is>
          <t xml:space="preserve">      AC17  Placeholder AC17</t>
        </is>
      </c>
      <c r="B172" s="18" t="n">
        <v>0</v>
      </c>
    </row>
    <row r="173">
      <c r="A173" s="17" t="inlineStr">
        <is>
          <t xml:space="preserve">      AC18  Placeholder AC18</t>
        </is>
      </c>
      <c r="B173" s="18" t="n">
        <v>0</v>
      </c>
    </row>
    <row r="174">
      <c r="A174" s="17" t="inlineStr">
        <is>
          <t xml:space="preserve">      AC19  Placeholder AC19</t>
        </is>
      </c>
      <c r="B174" s="18" t="n">
        <v>0</v>
      </c>
    </row>
    <row r="175">
      <c r="A175" s="17" t="inlineStr">
        <is>
          <t xml:space="preserve">      AC20  Placeholder AC20</t>
        </is>
      </c>
      <c r="B175" s="18" t="n">
        <v>0</v>
      </c>
    </row>
    <row r="176">
      <c r="A176" s="17" t="inlineStr">
        <is>
          <t xml:space="preserve">      AC21  Placeholder AC21</t>
        </is>
      </c>
      <c r="B176" s="18" t="n">
        <v>0</v>
      </c>
    </row>
    <row r="177">
      <c r="A177" s="17" t="inlineStr">
        <is>
          <t xml:space="preserve">      AC22  Placeholder AC22</t>
        </is>
      </c>
      <c r="B177" s="18" t="n">
        <v>0</v>
      </c>
      <c r="C177" s="38">
        <f>SUM(B156:B177)</f>
        <v/>
      </c>
    </row>
    <row r="178">
      <c r="A178" s="17" t="inlineStr">
        <is>
          <t xml:space="preserve">      % Regulated</t>
        </is>
      </c>
      <c r="B178" s="18" t="n">
        <v>1</v>
      </c>
    </row>
    <row r="179">
      <c r="A179" s="17" t="inlineStr">
        <is>
          <t xml:space="preserve">      % Non-Regulated</t>
        </is>
      </c>
      <c r="B179" s="18" t="n">
        <v>0</v>
      </c>
    </row>
    <row r="180">
      <c r="A180" s="17" t="inlineStr">
        <is>
          <t xml:space="preserve">      % Transformation</t>
        </is>
      </c>
      <c r="B180" s="18" t="n">
        <v>0</v>
      </c>
    </row>
    <row r="181">
      <c r="A181" s="17" t="inlineStr">
        <is>
          <t xml:space="preserve">      Commission FY (CWIP flips to in-service)</t>
        </is>
      </c>
      <c r="B181" s="24" t="n">
        <v>2027</v>
      </c>
    </row>
    <row r="182">
      <c r="A182" s="17" t="inlineStr">
        <is>
          <t xml:space="preserve">    Annual Spend $M (Capex Incurred)</t>
        </is>
      </c>
      <c r="B182" s="26" t="n">
        <v>0</v>
      </c>
      <c r="C182" s="26" t="n">
        <v>0</v>
      </c>
      <c r="D182" s="26" t="n">
        <v>0</v>
      </c>
      <c r="E182" s="26" t="n">
        <v>0</v>
      </c>
      <c r="F182" s="26" t="n">
        <v>0</v>
      </c>
      <c r="G182" s="39" t="n">
        <v>30</v>
      </c>
      <c r="H182" s="39" t="n">
        <v>35</v>
      </c>
      <c r="I182" s="39" t="n">
        <v>30</v>
      </c>
      <c r="J182" s="39" t="n">
        <v>25</v>
      </c>
      <c r="K182" s="39" t="n">
        <v>0</v>
      </c>
      <c r="L182" s="39" t="n">
        <v>0</v>
      </c>
      <c r="M182" s="39" t="n">
        <v>0</v>
      </c>
      <c r="N182" s="39" t="n">
        <v>0</v>
      </c>
      <c r="O182" s="39" t="n">
        <v>0</v>
      </c>
      <c r="P182" s="39" t="n">
        <v>0</v>
      </c>
    </row>
    <row r="184">
      <c r="A184" s="41" t="inlineStr">
        <is>
          <t>P007 New Connection — Solar Farm B  |  CONN  |  Budget: $80M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>
      <c r="A185" s="37" t="inlineStr">
        <is>
          <t xml:space="preserve">    Attributes:  Opening CWIP / Commission FY / %Reg / %Non-Reg / %Trans</t>
        </is>
      </c>
    </row>
    <row r="186">
      <c r="A186" s="17" t="inlineStr">
        <is>
          <t xml:space="preserve">      AC1  Transmission Lines &gt;132kV</t>
        </is>
      </c>
      <c r="B186" s="18" t="n">
        <v>0.25</v>
      </c>
    </row>
    <row r="187">
      <c r="A187" s="17" t="inlineStr">
        <is>
          <t xml:space="preserve">      AC2  Transmission Lines &lt;=132kV</t>
        </is>
      </c>
      <c r="B187" s="18" t="n">
        <v>0</v>
      </c>
    </row>
    <row r="188">
      <c r="A188" s="17" t="inlineStr">
        <is>
          <t xml:space="preserve">      AC3  Underground Cables</t>
        </is>
      </c>
      <c r="B188" s="18" t="n">
        <v>0</v>
      </c>
    </row>
    <row r="189">
      <c r="A189" s="17" t="inlineStr">
        <is>
          <t xml:space="preserve">      AC4  Power Transformers</t>
        </is>
      </c>
      <c r="B189" s="18" t="n">
        <v>0</v>
      </c>
    </row>
    <row r="190">
      <c r="A190" s="17" t="inlineStr">
        <is>
          <t xml:space="preserve">      AC5  Switchgear</t>
        </is>
      </c>
      <c r="B190" s="18" t="n">
        <v>0.1</v>
      </c>
    </row>
    <row r="191">
      <c r="A191" s="17" t="inlineStr">
        <is>
          <t xml:space="preserve">      AC6  Substation Plant</t>
        </is>
      </c>
      <c r="B191" s="18" t="n">
        <v>0</v>
      </c>
    </row>
    <row r="192">
      <c r="A192" s="17" t="inlineStr">
        <is>
          <t xml:space="preserve">      AC7  Protection &amp; Control</t>
        </is>
      </c>
      <c r="B192" s="18" t="n">
        <v>0</v>
      </c>
    </row>
    <row r="193">
      <c r="A193" s="17" t="inlineStr">
        <is>
          <t xml:space="preserve">      AC8  SCADA</t>
        </is>
      </c>
      <c r="B193" s="18" t="n">
        <v>0</v>
      </c>
    </row>
    <row r="194">
      <c r="A194" s="17" t="inlineStr">
        <is>
          <t xml:space="preserve">      AC9  Metering</t>
        </is>
      </c>
      <c r="B194" s="18" t="n">
        <v>0.1</v>
      </c>
    </row>
    <row r="195">
      <c r="A195" s="17" t="inlineStr">
        <is>
          <t xml:space="preserve">      AC10  Buildings</t>
        </is>
      </c>
      <c r="B195" s="18" t="n">
        <v>0</v>
      </c>
    </row>
    <row r="196">
      <c r="A196" s="17" t="inlineStr">
        <is>
          <t xml:space="preserve">      AC11  Land</t>
        </is>
      </c>
      <c r="B196" s="18" t="n">
        <v>0</v>
      </c>
    </row>
    <row r="197">
      <c r="A197" s="17" t="inlineStr">
        <is>
          <t xml:space="preserve">      AC12  IT Systems</t>
        </is>
      </c>
      <c r="B197" s="18" t="n">
        <v>0</v>
      </c>
    </row>
    <row r="198">
      <c r="A198" s="17" t="inlineStr">
        <is>
          <t xml:space="preserve">      AC13  Battery Storage</t>
        </is>
      </c>
      <c r="B198" s="18" t="n">
        <v>0</v>
      </c>
    </row>
    <row r="199">
      <c r="A199" s="17" t="inlineStr">
        <is>
          <t xml:space="preserve">      AC14  Renewable Connection Assets</t>
        </is>
      </c>
      <c r="B199" s="18" t="n">
        <v>0.55</v>
      </c>
    </row>
    <row r="200">
      <c r="A200" s="17" t="inlineStr">
        <is>
          <t xml:space="preserve">      AC15  Mobile Plant</t>
        </is>
      </c>
      <c r="B200" s="18" t="n">
        <v>0</v>
      </c>
    </row>
    <row r="201">
      <c r="A201" s="17" t="inlineStr">
        <is>
          <t xml:space="preserve">      AC16  Placeholder AC16</t>
        </is>
      </c>
      <c r="B201" s="18" t="n">
        <v>0</v>
      </c>
    </row>
    <row r="202">
      <c r="A202" s="17" t="inlineStr">
        <is>
          <t xml:space="preserve">      AC17  Placeholder AC17</t>
        </is>
      </c>
      <c r="B202" s="18" t="n">
        <v>0</v>
      </c>
    </row>
    <row r="203">
      <c r="A203" s="17" t="inlineStr">
        <is>
          <t xml:space="preserve">      AC18  Placeholder AC18</t>
        </is>
      </c>
      <c r="B203" s="18" t="n">
        <v>0</v>
      </c>
    </row>
    <row r="204">
      <c r="A204" s="17" t="inlineStr">
        <is>
          <t xml:space="preserve">      AC19  Placeholder AC19</t>
        </is>
      </c>
      <c r="B204" s="18" t="n">
        <v>0</v>
      </c>
    </row>
    <row r="205">
      <c r="A205" s="17" t="inlineStr">
        <is>
          <t xml:space="preserve">      AC20  Placeholder AC20</t>
        </is>
      </c>
      <c r="B205" s="18" t="n">
        <v>0</v>
      </c>
    </row>
    <row r="206">
      <c r="A206" s="17" t="inlineStr">
        <is>
          <t xml:space="preserve">      AC21  Placeholder AC21</t>
        </is>
      </c>
      <c r="B206" s="18" t="n">
        <v>0</v>
      </c>
    </row>
    <row r="207">
      <c r="A207" s="17" t="inlineStr">
        <is>
          <t xml:space="preserve">      AC22  Placeholder AC22</t>
        </is>
      </c>
      <c r="B207" s="18" t="n">
        <v>0</v>
      </c>
      <c r="C207" s="38">
        <f>SUM(B186:B207)</f>
        <v/>
      </c>
    </row>
    <row r="208">
      <c r="A208" s="17" t="inlineStr">
        <is>
          <t xml:space="preserve">      % Regulated</t>
        </is>
      </c>
      <c r="B208" s="18" t="n">
        <v>1</v>
      </c>
    </row>
    <row r="209">
      <c r="A209" s="17" t="inlineStr">
        <is>
          <t xml:space="preserve">      % Non-Regulated</t>
        </is>
      </c>
      <c r="B209" s="18" t="n">
        <v>0</v>
      </c>
    </row>
    <row r="210">
      <c r="A210" s="17" t="inlineStr">
        <is>
          <t xml:space="preserve">      % Transformation</t>
        </is>
      </c>
      <c r="B210" s="18" t="n">
        <v>0</v>
      </c>
    </row>
    <row r="211">
      <c r="A211" s="17" t="inlineStr">
        <is>
          <t xml:space="preserve">      Commission FY (CWIP flips to in-service)</t>
        </is>
      </c>
      <c r="B211" s="24" t="n">
        <v>2026</v>
      </c>
    </row>
    <row r="212">
      <c r="A212" s="17" t="inlineStr">
        <is>
          <t xml:space="preserve">    Annual Spend $M (Capex Incurred)</t>
        </is>
      </c>
      <c r="B212" s="26" t="n">
        <v>0</v>
      </c>
      <c r="C212" s="26" t="n">
        <v>0</v>
      </c>
      <c r="D212" s="26" t="n">
        <v>0</v>
      </c>
      <c r="E212" s="26" t="n">
        <v>0</v>
      </c>
      <c r="F212" s="26" t="n">
        <v>0</v>
      </c>
      <c r="G212" s="39" t="n">
        <v>0</v>
      </c>
      <c r="H212" s="39" t="n">
        <v>40</v>
      </c>
      <c r="I212" s="39" t="n">
        <v>40</v>
      </c>
      <c r="J212" s="39" t="n">
        <v>0</v>
      </c>
      <c r="K212" s="39" t="n">
        <v>0</v>
      </c>
      <c r="L212" s="39" t="n">
        <v>0</v>
      </c>
      <c r="M212" s="39" t="n">
        <v>0</v>
      </c>
      <c r="N212" s="39" t="n">
        <v>0</v>
      </c>
      <c r="O212" s="39" t="n">
        <v>0</v>
      </c>
      <c r="P212" s="39" t="n">
        <v>0</v>
      </c>
    </row>
    <row r="214">
      <c r="A214" s="40" t="inlineStr">
        <is>
          <t>P008 Transmission Reconductoring  |  REPL  |  Budget: $420M</t>
        </is>
      </c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</row>
    <row r="215">
      <c r="A215" s="37" t="inlineStr">
        <is>
          <t xml:space="preserve">    Attributes:  Opening CWIP / Commission FY / %Reg / %Non-Reg / %Trans</t>
        </is>
      </c>
    </row>
    <row r="216">
      <c r="A216" s="17" t="inlineStr">
        <is>
          <t xml:space="preserve">      AC1  Transmission Lines &gt;132kV</t>
        </is>
      </c>
      <c r="B216" s="18" t="n">
        <v>0.6</v>
      </c>
    </row>
    <row r="217">
      <c r="A217" s="17" t="inlineStr">
        <is>
          <t xml:space="preserve">      AC2  Transmission Lines &lt;=132kV</t>
        </is>
      </c>
      <c r="B217" s="18" t="n">
        <v>0.3</v>
      </c>
    </row>
    <row r="218">
      <c r="A218" s="17" t="inlineStr">
        <is>
          <t xml:space="preserve">      AC3  Underground Cables</t>
        </is>
      </c>
      <c r="B218" s="18" t="n">
        <v>0</v>
      </c>
    </row>
    <row r="219">
      <c r="A219" s="17" t="inlineStr">
        <is>
          <t xml:space="preserve">      AC4  Power Transformers</t>
        </is>
      </c>
      <c r="B219" s="18" t="n">
        <v>0</v>
      </c>
    </row>
    <row r="220">
      <c r="A220" s="17" t="inlineStr">
        <is>
          <t xml:space="preserve">      AC5  Switchgear</t>
        </is>
      </c>
      <c r="B220" s="18" t="n">
        <v>0.1</v>
      </c>
    </row>
    <row r="221">
      <c r="A221" s="17" t="inlineStr">
        <is>
          <t xml:space="preserve">      AC6  Substation Plant</t>
        </is>
      </c>
      <c r="B221" s="18" t="n">
        <v>0</v>
      </c>
    </row>
    <row r="222">
      <c r="A222" s="17" t="inlineStr">
        <is>
          <t xml:space="preserve">      AC7  Protection &amp; Control</t>
        </is>
      </c>
      <c r="B222" s="18" t="n">
        <v>0</v>
      </c>
    </row>
    <row r="223">
      <c r="A223" s="17" t="inlineStr">
        <is>
          <t xml:space="preserve">      AC8  SCADA</t>
        </is>
      </c>
      <c r="B223" s="18" t="n">
        <v>0</v>
      </c>
    </row>
    <row r="224">
      <c r="A224" s="17" t="inlineStr">
        <is>
          <t xml:space="preserve">      AC9  Metering</t>
        </is>
      </c>
      <c r="B224" s="18" t="n">
        <v>0</v>
      </c>
    </row>
    <row r="225">
      <c r="A225" s="17" t="inlineStr">
        <is>
          <t xml:space="preserve">      AC10  Buildings</t>
        </is>
      </c>
      <c r="B225" s="18" t="n">
        <v>0</v>
      </c>
    </row>
    <row r="226">
      <c r="A226" s="17" t="inlineStr">
        <is>
          <t xml:space="preserve">      AC11  Land</t>
        </is>
      </c>
      <c r="B226" s="18" t="n">
        <v>0</v>
      </c>
    </row>
    <row r="227">
      <c r="A227" s="17" t="inlineStr">
        <is>
          <t xml:space="preserve">      AC12  IT Systems</t>
        </is>
      </c>
      <c r="B227" s="18" t="n">
        <v>0</v>
      </c>
    </row>
    <row r="228">
      <c r="A228" s="17" t="inlineStr">
        <is>
          <t xml:space="preserve">      AC13  Battery Storage</t>
        </is>
      </c>
      <c r="B228" s="18" t="n">
        <v>0</v>
      </c>
    </row>
    <row r="229">
      <c r="A229" s="17" t="inlineStr">
        <is>
          <t xml:space="preserve">      AC14  Renewable Connection Assets</t>
        </is>
      </c>
      <c r="B229" s="18" t="n">
        <v>0</v>
      </c>
    </row>
    <row r="230">
      <c r="A230" s="17" t="inlineStr">
        <is>
          <t xml:space="preserve">      AC15  Mobile Plant</t>
        </is>
      </c>
      <c r="B230" s="18" t="n">
        <v>0</v>
      </c>
    </row>
    <row r="231">
      <c r="A231" s="17" t="inlineStr">
        <is>
          <t xml:space="preserve">      AC16  Placeholder AC16</t>
        </is>
      </c>
      <c r="B231" s="18" t="n">
        <v>0</v>
      </c>
    </row>
    <row r="232">
      <c r="A232" s="17" t="inlineStr">
        <is>
          <t xml:space="preserve">      AC17  Placeholder AC17</t>
        </is>
      </c>
      <c r="B232" s="18" t="n">
        <v>0</v>
      </c>
    </row>
    <row r="233">
      <c r="A233" s="17" t="inlineStr">
        <is>
          <t xml:space="preserve">      AC18  Placeholder AC18</t>
        </is>
      </c>
      <c r="B233" s="18" t="n">
        <v>0</v>
      </c>
    </row>
    <row r="234">
      <c r="A234" s="17" t="inlineStr">
        <is>
          <t xml:space="preserve">      AC19  Placeholder AC19</t>
        </is>
      </c>
      <c r="B234" s="18" t="n">
        <v>0</v>
      </c>
    </row>
    <row r="235">
      <c r="A235" s="17" t="inlineStr">
        <is>
          <t xml:space="preserve">      AC20  Placeholder AC20</t>
        </is>
      </c>
      <c r="B235" s="18" t="n">
        <v>0</v>
      </c>
    </row>
    <row r="236">
      <c r="A236" s="17" t="inlineStr">
        <is>
          <t xml:space="preserve">      AC21  Placeholder AC21</t>
        </is>
      </c>
      <c r="B236" s="18" t="n">
        <v>0</v>
      </c>
    </row>
    <row r="237">
      <c r="A237" s="17" t="inlineStr">
        <is>
          <t xml:space="preserve">      AC22  Placeholder AC22</t>
        </is>
      </c>
      <c r="B237" s="18" t="n">
        <v>0</v>
      </c>
      <c r="C237" s="38">
        <f>SUM(B216:B237)</f>
        <v/>
      </c>
    </row>
    <row r="238">
      <c r="A238" s="17" t="inlineStr">
        <is>
          <t xml:space="preserve">      % Regulated</t>
        </is>
      </c>
      <c r="B238" s="18" t="n">
        <v>1</v>
      </c>
    </row>
    <row r="239">
      <c r="A239" s="17" t="inlineStr">
        <is>
          <t xml:space="preserve">      % Non-Regulated</t>
        </is>
      </c>
      <c r="B239" s="18" t="n">
        <v>0</v>
      </c>
    </row>
    <row r="240">
      <c r="A240" s="17" t="inlineStr">
        <is>
          <t xml:space="preserve">      % Transformation</t>
        </is>
      </c>
      <c r="B240" s="18" t="n">
        <v>0</v>
      </c>
    </row>
    <row r="241">
      <c r="A241" s="17" t="inlineStr">
        <is>
          <t xml:space="preserve">      Commission FY (CWIP flips to in-service)</t>
        </is>
      </c>
      <c r="B241" s="24" t="n">
        <v>2031</v>
      </c>
    </row>
    <row r="242">
      <c r="A242" s="17" t="inlineStr">
        <is>
          <t xml:space="preserve">    Annual Spend $M (Capex Incurred)</t>
        </is>
      </c>
      <c r="B242" s="26" t="n">
        <v>0</v>
      </c>
      <c r="C242" s="26" t="n">
        <v>0</v>
      </c>
      <c r="D242" s="26" t="n">
        <v>0</v>
      </c>
      <c r="E242" s="26" t="n">
        <v>0</v>
      </c>
      <c r="F242" s="26" t="n">
        <v>0</v>
      </c>
      <c r="G242" s="39" t="n">
        <v>0</v>
      </c>
      <c r="H242" s="39" t="n">
        <v>0</v>
      </c>
      <c r="I242" s="39" t="n">
        <v>50</v>
      </c>
      <c r="J242" s="39" t="n">
        <v>70</v>
      </c>
      <c r="K242" s="39" t="n">
        <v>90</v>
      </c>
      <c r="L242" s="39" t="n">
        <v>90</v>
      </c>
      <c r="M242" s="39" t="n">
        <v>80</v>
      </c>
      <c r="N242" s="39" t="n">
        <v>40</v>
      </c>
      <c r="O242" s="39" t="n">
        <v>0</v>
      </c>
      <c r="P242" s="39" t="n">
        <v>0</v>
      </c>
    </row>
    <row r="244">
      <c r="A244" s="36" t="inlineStr">
        <is>
          <t>P009 Digital Twin Infrastructure  |  AUG  |  Budget: $90M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>
      <c r="A245" s="37" t="inlineStr">
        <is>
          <t xml:space="preserve">    Attributes:  Opening CWIP / Commission FY / %Reg / %Non-Reg / %Trans</t>
        </is>
      </c>
    </row>
    <row r="246">
      <c r="A246" s="17" t="inlineStr">
        <is>
          <t xml:space="preserve">      AC1  Transmission Lines &gt;132kV</t>
        </is>
      </c>
      <c r="B246" s="18" t="n">
        <v>0</v>
      </c>
    </row>
    <row r="247">
      <c r="A247" s="17" t="inlineStr">
        <is>
          <t xml:space="preserve">      AC2  Transmission Lines &lt;=132kV</t>
        </is>
      </c>
      <c r="B247" s="18" t="n">
        <v>0</v>
      </c>
    </row>
    <row r="248">
      <c r="A248" s="17" t="inlineStr">
        <is>
          <t xml:space="preserve">      AC3  Underground Cables</t>
        </is>
      </c>
      <c r="B248" s="18" t="n">
        <v>0</v>
      </c>
    </row>
    <row r="249">
      <c r="A249" s="17" t="inlineStr">
        <is>
          <t xml:space="preserve">      AC4  Power Transformers</t>
        </is>
      </c>
      <c r="B249" s="18" t="n">
        <v>0</v>
      </c>
    </row>
    <row r="250">
      <c r="A250" s="17" t="inlineStr">
        <is>
          <t xml:space="preserve">      AC5  Switchgear</t>
        </is>
      </c>
      <c r="B250" s="18" t="n">
        <v>0</v>
      </c>
    </row>
    <row r="251">
      <c r="A251" s="17" t="inlineStr">
        <is>
          <t xml:space="preserve">      AC6  Substation Plant</t>
        </is>
      </c>
      <c r="B251" s="18" t="n">
        <v>0</v>
      </c>
    </row>
    <row r="252">
      <c r="A252" s="17" t="inlineStr">
        <is>
          <t xml:space="preserve">      AC7  Protection &amp; Control</t>
        </is>
      </c>
      <c r="B252" s="18" t="n">
        <v>0</v>
      </c>
    </row>
    <row r="253">
      <c r="A253" s="17" t="inlineStr">
        <is>
          <t xml:space="preserve">      AC8  SCADA</t>
        </is>
      </c>
      <c r="B253" s="18" t="n">
        <v>0.2</v>
      </c>
    </row>
    <row r="254">
      <c r="A254" s="17" t="inlineStr">
        <is>
          <t xml:space="preserve">      AC9  Metering</t>
        </is>
      </c>
      <c r="B254" s="18" t="n">
        <v>0</v>
      </c>
    </row>
    <row r="255">
      <c r="A255" s="17" t="inlineStr">
        <is>
          <t xml:space="preserve">      AC10  Buildings</t>
        </is>
      </c>
      <c r="B255" s="18" t="n">
        <v>0.1</v>
      </c>
    </row>
    <row r="256">
      <c r="A256" s="17" t="inlineStr">
        <is>
          <t xml:space="preserve">      AC11  Land</t>
        </is>
      </c>
      <c r="B256" s="18" t="n">
        <v>0</v>
      </c>
    </row>
    <row r="257">
      <c r="A257" s="17" t="inlineStr">
        <is>
          <t xml:space="preserve">      AC12  IT Systems</t>
        </is>
      </c>
      <c r="B257" s="18" t="n">
        <v>0.7</v>
      </c>
    </row>
    <row r="258">
      <c r="A258" s="17" t="inlineStr">
        <is>
          <t xml:space="preserve">      AC13  Battery Storage</t>
        </is>
      </c>
      <c r="B258" s="18" t="n">
        <v>0</v>
      </c>
    </row>
    <row r="259">
      <c r="A259" s="17" t="inlineStr">
        <is>
          <t xml:space="preserve">      AC14  Renewable Connection Assets</t>
        </is>
      </c>
      <c r="B259" s="18" t="n">
        <v>0</v>
      </c>
    </row>
    <row r="260">
      <c r="A260" s="17" t="inlineStr">
        <is>
          <t xml:space="preserve">      AC15  Mobile Plant</t>
        </is>
      </c>
      <c r="B260" s="18" t="n">
        <v>0</v>
      </c>
    </row>
    <row r="261">
      <c r="A261" s="17" t="inlineStr">
        <is>
          <t xml:space="preserve">      AC16  Placeholder AC16</t>
        </is>
      </c>
      <c r="B261" s="18" t="n">
        <v>0</v>
      </c>
    </row>
    <row r="262">
      <c r="A262" s="17" t="inlineStr">
        <is>
          <t xml:space="preserve">      AC17  Placeholder AC17</t>
        </is>
      </c>
      <c r="B262" s="18" t="n">
        <v>0</v>
      </c>
    </row>
    <row r="263">
      <c r="A263" s="17" t="inlineStr">
        <is>
          <t xml:space="preserve">      AC18  Placeholder AC18</t>
        </is>
      </c>
      <c r="B263" s="18" t="n">
        <v>0</v>
      </c>
    </row>
    <row r="264">
      <c r="A264" s="17" t="inlineStr">
        <is>
          <t xml:space="preserve">      AC19  Placeholder AC19</t>
        </is>
      </c>
      <c r="B264" s="18" t="n">
        <v>0</v>
      </c>
    </row>
    <row r="265">
      <c r="A265" s="17" t="inlineStr">
        <is>
          <t xml:space="preserve">      AC20  Placeholder AC20</t>
        </is>
      </c>
      <c r="B265" s="18" t="n">
        <v>0</v>
      </c>
    </row>
    <row r="266">
      <c r="A266" s="17" t="inlineStr">
        <is>
          <t xml:space="preserve">      AC21  Placeholder AC21</t>
        </is>
      </c>
      <c r="B266" s="18" t="n">
        <v>0</v>
      </c>
    </row>
    <row r="267">
      <c r="A267" s="17" t="inlineStr">
        <is>
          <t xml:space="preserve">      AC22  Placeholder AC22</t>
        </is>
      </c>
      <c r="B267" s="18" t="n">
        <v>0</v>
      </c>
      <c r="C267" s="38">
        <f>SUM(B246:B267)</f>
        <v/>
      </c>
    </row>
    <row r="268">
      <c r="A268" s="17" t="inlineStr">
        <is>
          <t xml:space="preserve">      % Regulated</t>
        </is>
      </c>
      <c r="B268" s="18" t="n">
        <v>0.4</v>
      </c>
    </row>
    <row r="269">
      <c r="A269" s="17" t="inlineStr">
        <is>
          <t xml:space="preserve">      % Non-Regulated</t>
        </is>
      </c>
      <c r="B269" s="18" t="n">
        <v>0.2</v>
      </c>
    </row>
    <row r="270">
      <c r="A270" s="17" t="inlineStr">
        <is>
          <t xml:space="preserve">      % Transformation</t>
        </is>
      </c>
      <c r="B270" s="18" t="n">
        <v>0.4</v>
      </c>
    </row>
    <row r="271">
      <c r="A271" s="17" t="inlineStr">
        <is>
          <t xml:space="preserve">      Commission FY (CWIP flips to in-service)</t>
        </is>
      </c>
      <c r="B271" s="24" t="n">
        <v>2029</v>
      </c>
    </row>
    <row r="272">
      <c r="A272" s="17" t="inlineStr">
        <is>
          <t xml:space="preserve">    Annual Spend $M (Capex Incurred)</t>
        </is>
      </c>
      <c r="B272" s="26" t="n">
        <v>0</v>
      </c>
      <c r="C272" s="26" t="n">
        <v>0</v>
      </c>
      <c r="D272" s="26" t="n">
        <v>0</v>
      </c>
      <c r="E272" s="26" t="n">
        <v>0</v>
      </c>
      <c r="F272" s="26" t="n">
        <v>0</v>
      </c>
      <c r="G272" s="39" t="n">
        <v>0</v>
      </c>
      <c r="H272" s="39" t="n">
        <v>0</v>
      </c>
      <c r="I272" s="39" t="n">
        <v>0</v>
      </c>
      <c r="J272" s="39" t="n">
        <v>30</v>
      </c>
      <c r="K272" s="39" t="n">
        <v>35</v>
      </c>
      <c r="L272" s="39" t="n">
        <v>25</v>
      </c>
      <c r="M272" s="39" t="n">
        <v>0</v>
      </c>
      <c r="N272" s="39" t="n">
        <v>0</v>
      </c>
      <c r="O272" s="39" t="n">
        <v>0</v>
      </c>
      <c r="P272" s="39" t="n">
        <v>0</v>
      </c>
    </row>
    <row r="274">
      <c r="A274" s="36" t="inlineStr">
        <is>
          <t>P010 Reactive Power Support  |  AUG  |  Budget: $75M</t>
        </is>
      </c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>
      <c r="A275" s="37" t="inlineStr">
        <is>
          <t xml:space="preserve">    Attributes:  Opening CWIP / Commission FY / %Reg / %Non-Reg / %Trans</t>
        </is>
      </c>
    </row>
    <row r="276">
      <c r="A276" s="17" t="inlineStr">
        <is>
          <t xml:space="preserve">      AC1  Transmission Lines &gt;132kV</t>
        </is>
      </c>
      <c r="B276" s="18" t="n">
        <v>0</v>
      </c>
    </row>
    <row r="277">
      <c r="A277" s="17" t="inlineStr">
        <is>
          <t xml:space="preserve">      AC2  Transmission Lines &lt;=132kV</t>
        </is>
      </c>
      <c r="B277" s="18" t="n">
        <v>0</v>
      </c>
    </row>
    <row r="278">
      <c r="A278" s="17" t="inlineStr">
        <is>
          <t xml:space="preserve">      AC3  Underground Cables</t>
        </is>
      </c>
      <c r="B278" s="18" t="n">
        <v>0</v>
      </c>
    </row>
    <row r="279">
      <c r="A279" s="17" t="inlineStr">
        <is>
          <t xml:space="preserve">      AC4  Power Transformers</t>
        </is>
      </c>
      <c r="B279" s="18" t="n">
        <v>0.3</v>
      </c>
    </row>
    <row r="280">
      <c r="A280" s="17" t="inlineStr">
        <is>
          <t xml:space="preserve">      AC5  Switchgear</t>
        </is>
      </c>
      <c r="B280" s="18" t="n">
        <v>0.2</v>
      </c>
    </row>
    <row r="281">
      <c r="A281" s="17" t="inlineStr">
        <is>
          <t xml:space="preserve">      AC6  Substation Plant</t>
        </is>
      </c>
      <c r="B281" s="18" t="n">
        <v>0.5</v>
      </c>
    </row>
    <row r="282">
      <c r="A282" s="17" t="inlineStr">
        <is>
          <t xml:space="preserve">      AC7  Protection &amp; Control</t>
        </is>
      </c>
      <c r="B282" s="18" t="n">
        <v>0</v>
      </c>
    </row>
    <row r="283">
      <c r="A283" s="17" t="inlineStr">
        <is>
          <t xml:space="preserve">      AC8  SCADA</t>
        </is>
      </c>
      <c r="B283" s="18" t="n">
        <v>0</v>
      </c>
    </row>
    <row r="284">
      <c r="A284" s="17" t="inlineStr">
        <is>
          <t xml:space="preserve">      AC9  Metering</t>
        </is>
      </c>
      <c r="B284" s="18" t="n">
        <v>0</v>
      </c>
    </row>
    <row r="285">
      <c r="A285" s="17" t="inlineStr">
        <is>
          <t xml:space="preserve">      AC10  Buildings</t>
        </is>
      </c>
      <c r="B285" s="18" t="n">
        <v>0</v>
      </c>
    </row>
    <row r="286">
      <c r="A286" s="17" t="inlineStr">
        <is>
          <t xml:space="preserve">      AC11  Land</t>
        </is>
      </c>
      <c r="B286" s="18" t="n">
        <v>0</v>
      </c>
    </row>
    <row r="287">
      <c r="A287" s="17" t="inlineStr">
        <is>
          <t xml:space="preserve">      AC12  IT Systems</t>
        </is>
      </c>
      <c r="B287" s="18" t="n">
        <v>0</v>
      </c>
    </row>
    <row r="288">
      <c r="A288" s="17" t="inlineStr">
        <is>
          <t xml:space="preserve">      AC13  Battery Storage</t>
        </is>
      </c>
      <c r="B288" s="18" t="n">
        <v>0</v>
      </c>
    </row>
    <row r="289">
      <c r="A289" s="17" t="inlineStr">
        <is>
          <t xml:space="preserve">      AC14  Renewable Connection Assets</t>
        </is>
      </c>
      <c r="B289" s="18" t="n">
        <v>0</v>
      </c>
    </row>
    <row r="290">
      <c r="A290" s="17" t="inlineStr">
        <is>
          <t xml:space="preserve">      AC15  Mobile Plant</t>
        </is>
      </c>
      <c r="B290" s="18" t="n">
        <v>0</v>
      </c>
    </row>
    <row r="291">
      <c r="A291" s="17" t="inlineStr">
        <is>
          <t xml:space="preserve">      AC16  Placeholder AC16</t>
        </is>
      </c>
      <c r="B291" s="18" t="n">
        <v>0</v>
      </c>
    </row>
    <row r="292">
      <c r="A292" s="17" t="inlineStr">
        <is>
          <t xml:space="preserve">      AC17  Placeholder AC17</t>
        </is>
      </c>
      <c r="B292" s="18" t="n">
        <v>0</v>
      </c>
    </row>
    <row r="293">
      <c r="A293" s="17" t="inlineStr">
        <is>
          <t xml:space="preserve">      AC18  Placeholder AC18</t>
        </is>
      </c>
      <c r="B293" s="18" t="n">
        <v>0</v>
      </c>
    </row>
    <row r="294">
      <c r="A294" s="17" t="inlineStr">
        <is>
          <t xml:space="preserve">      AC19  Placeholder AC19</t>
        </is>
      </c>
      <c r="B294" s="18" t="n">
        <v>0</v>
      </c>
    </row>
    <row r="295">
      <c r="A295" s="17" t="inlineStr">
        <is>
          <t xml:space="preserve">      AC20  Placeholder AC20</t>
        </is>
      </c>
      <c r="B295" s="18" t="n">
        <v>0</v>
      </c>
    </row>
    <row r="296">
      <c r="A296" s="17" t="inlineStr">
        <is>
          <t xml:space="preserve">      AC21  Placeholder AC21</t>
        </is>
      </c>
      <c r="B296" s="18" t="n">
        <v>0</v>
      </c>
    </row>
    <row r="297">
      <c r="A297" s="17" t="inlineStr">
        <is>
          <t xml:space="preserve">      AC22  Placeholder AC22</t>
        </is>
      </c>
      <c r="B297" s="18" t="n">
        <v>0</v>
      </c>
      <c r="C297" s="38">
        <f>SUM(B276:B297)</f>
        <v/>
      </c>
    </row>
    <row r="298">
      <c r="A298" s="17" t="inlineStr">
        <is>
          <t xml:space="preserve">      % Regulated</t>
        </is>
      </c>
      <c r="B298" s="18" t="n">
        <v>1</v>
      </c>
    </row>
    <row r="299">
      <c r="A299" s="17" t="inlineStr">
        <is>
          <t xml:space="preserve">      % Non-Regulated</t>
        </is>
      </c>
      <c r="B299" s="18" t="n">
        <v>0</v>
      </c>
    </row>
    <row r="300">
      <c r="A300" s="17" t="inlineStr">
        <is>
          <t xml:space="preserve">      % Transformation</t>
        </is>
      </c>
      <c r="B300" s="18" t="n">
        <v>0</v>
      </c>
    </row>
    <row r="301">
      <c r="A301" s="17" t="inlineStr">
        <is>
          <t xml:space="preserve">      Commission FY (CWIP flips to in-service)</t>
        </is>
      </c>
      <c r="B301" s="24" t="n">
        <v>2030</v>
      </c>
    </row>
    <row r="302">
      <c r="A302" s="17" t="inlineStr">
        <is>
          <t xml:space="preserve">    Annual Spend $M (Capex Incurred)</t>
        </is>
      </c>
      <c r="B302" s="26" t="n">
        <v>0</v>
      </c>
      <c r="C302" s="26" t="n">
        <v>0</v>
      </c>
      <c r="D302" s="26" t="n">
        <v>0</v>
      </c>
      <c r="E302" s="26" t="n">
        <v>0</v>
      </c>
      <c r="F302" s="26" t="n">
        <v>0</v>
      </c>
      <c r="G302" s="39" t="n">
        <v>0</v>
      </c>
      <c r="H302" s="39" t="n">
        <v>0</v>
      </c>
      <c r="I302" s="39" t="n">
        <v>0</v>
      </c>
      <c r="J302" s="39" t="n">
        <v>0</v>
      </c>
      <c r="K302" s="39" t="n">
        <v>25</v>
      </c>
      <c r="L302" s="39" t="n">
        <v>30</v>
      </c>
      <c r="M302" s="39" t="n">
        <v>20</v>
      </c>
      <c r="N302" s="39" t="n">
        <v>0</v>
      </c>
      <c r="O302" s="39" t="n">
        <v>0</v>
      </c>
      <c r="P302" s="39" t="n">
        <v>0</v>
      </c>
    </row>
    <row r="305">
      <c r="A305" s="15" t="inlineStr">
        <is>
          <t>TOTAL ACROSS ALL PROJECTS</t>
        </is>
      </c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</row>
    <row r="306">
      <c r="A306" s="17" t="inlineStr">
        <is>
          <t xml:space="preserve">  Total Capex Incurred ($M)</t>
        </is>
      </c>
      <c r="B306" s="42">
        <f>B32+B62+B92+B122+B152+B182+B212+B242+B272+B302</f>
        <v/>
      </c>
      <c r="C306" s="42">
        <f>C32+C62+C92+C122+C152+C182+C212+C242+C272+C302</f>
        <v/>
      </c>
      <c r="D306" s="42">
        <f>D32+D62+D92+D122+D152+D182+D212+D242+D272+D302</f>
        <v/>
      </c>
      <c r="E306" s="42">
        <f>E32+E62+E92+E122+E152+E182+E212+E242+E272+E302</f>
        <v/>
      </c>
      <c r="F306" s="42">
        <f>F32+F62+F92+F122+F152+F182+F212+F242+F272+F302</f>
        <v/>
      </c>
      <c r="G306" s="42">
        <f>G32+G62+G92+G122+G152+G182+G212+G242+G272+G302</f>
        <v/>
      </c>
      <c r="H306" s="42">
        <f>H32+H62+H92+H122+H152+H182+H212+H242+H272+H302</f>
        <v/>
      </c>
      <c r="I306" s="42">
        <f>I32+I62+I92+I122+I152+I182+I212+I242+I272+I302</f>
        <v/>
      </c>
      <c r="J306" s="42">
        <f>J32+J62+J92+J122+J152+J182+J212+J242+J272+J302</f>
        <v/>
      </c>
      <c r="K306" s="42">
        <f>K32+K62+K92+K122+K152+K182+K212+K242+K272+K302</f>
        <v/>
      </c>
      <c r="L306" s="42">
        <f>L32+L62+L92+L122+L152+L182+L212+L242+L272+L302</f>
        <v/>
      </c>
      <c r="M306" s="42">
        <f>M32+M62+M92+M122+M152+M182+M212+M242+M272+M302</f>
        <v/>
      </c>
      <c r="N306" s="42">
        <f>N32+N62+N92+N122+N152+N182+N212+N242+N272+N302</f>
        <v/>
      </c>
      <c r="O306" s="42">
        <f>O32+O62+O92+O122+O152+O182+O212+O242+O272+O302</f>
        <v/>
      </c>
      <c r="P306" s="42">
        <f>P32+P62+P92+P122+P152+P182+P212+P242+P272+P302</f>
        <v/>
      </c>
    </row>
    <row r="307">
      <c r="A307" s="17" t="inlineStr">
        <is>
          <t xml:space="preserve">  Total Regulated Capex ($M)</t>
        </is>
      </c>
      <c r="B307" s="43">
        <f>B32*$B$28+B62*$B$58+B92*$B$88+B122*$B$118+B152*$B$148+B182*$B$178+B212*$B$208+B242*$B$238+B272*$B$268+B302*$B$298</f>
        <v/>
      </c>
      <c r="C307" s="43">
        <f>C32*$B$28+C62*$B$58+C92*$B$88+C122*$B$118+C152*$B$148+C182*$B$178+C212*$B$208+C242*$B$238+C272*$B$268+C302*$B$298</f>
        <v/>
      </c>
      <c r="D307" s="43">
        <f>D32*$B$28+D62*$B$58+D92*$B$88+D122*$B$118+D152*$B$148+D182*$B$178+D212*$B$208+D242*$B$238+D272*$B$268+D302*$B$298</f>
        <v/>
      </c>
      <c r="E307" s="43">
        <f>E32*$B$28+E62*$B$58+E92*$B$88+E122*$B$118+E152*$B$148+E182*$B$178+E212*$B$208+E242*$B$238+E272*$B$268+E302*$B$298</f>
        <v/>
      </c>
      <c r="F307" s="43">
        <f>F32*$B$28+F62*$B$58+F92*$B$88+F122*$B$118+F152*$B$148+F182*$B$178+F212*$B$208+F242*$B$238+F272*$B$268+F302*$B$298</f>
        <v/>
      </c>
      <c r="G307" s="43">
        <f>G32*$B$28+G62*$B$58+G92*$B$88+G122*$B$118+G152*$B$148+G182*$B$178+G212*$B$208+G242*$B$238+G272*$B$268+G302*$B$298</f>
        <v/>
      </c>
      <c r="H307" s="43">
        <f>H32*$B$28+H62*$B$58+H92*$B$88+H122*$B$118+H152*$B$148+H182*$B$178+H212*$B$208+H242*$B$238+H272*$B$268+H302*$B$298</f>
        <v/>
      </c>
      <c r="I307" s="43">
        <f>I32*$B$28+I62*$B$58+I92*$B$88+I122*$B$118+I152*$B$148+I182*$B$178+I212*$B$208+I242*$B$238+I272*$B$268+I302*$B$298</f>
        <v/>
      </c>
      <c r="J307" s="43">
        <f>J32*$B$28+J62*$B$58+J92*$B$88+J122*$B$118+J152*$B$148+J182*$B$178+J212*$B$208+J242*$B$238+J272*$B$268+J302*$B$298</f>
        <v/>
      </c>
      <c r="K307" s="43">
        <f>K32*$B$28+K62*$B$58+K92*$B$88+K122*$B$118+K152*$B$148+K182*$B$178+K212*$B$208+K242*$B$238+K272*$B$268+K302*$B$298</f>
        <v/>
      </c>
      <c r="L307" s="43">
        <f>L32*$B$28+L62*$B$58+L92*$B$88+L122*$B$118+L152*$B$148+L182*$B$178+L212*$B$208+L242*$B$238+L272*$B$268+L302*$B$298</f>
        <v/>
      </c>
      <c r="M307" s="43">
        <f>M32*$B$28+M62*$B$58+M92*$B$88+M122*$B$118+M152*$B$148+M182*$B$178+M212*$B$208+M242*$B$238+M272*$B$268+M302*$B$298</f>
        <v/>
      </c>
      <c r="N307" s="43">
        <f>N32*$B$28+N62*$B$58+N92*$B$88+N122*$B$118+N152*$B$148+N182*$B$178+N212*$B$208+N242*$B$238+N272*$B$268+N302*$B$298</f>
        <v/>
      </c>
      <c r="O307" s="43">
        <f>O32*$B$28+O62*$B$58+O92*$B$88+O122*$B$118+O152*$B$148+O182*$B$178+O212*$B$208+O242*$B$238+O272*$B$268+O302*$B$298</f>
        <v/>
      </c>
      <c r="P307" s="43">
        <f>P32*$B$28+P62*$B$58+P92*$B$88+P122*$B$118+P152*$B$148+P182*$B$178+P212*$B$208+P242*$B$238+P272*$B$268+P302*$B$298</f>
        <v/>
      </c>
    </row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P7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COMMISSIONING SCHEDULE — CWIP Roll-Forward (Incurred → Commissioned)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7" t="inlineStr">
        <is>
          <t>Per-Project CWIP Roll-Forward: Opening + Incurred − Commissioned = Closing</t>
        </is>
      </c>
    </row>
    <row r="5">
      <c r="A5" s="36" t="inlineStr">
        <is>
          <t>P001 Grid Modernisation Program  |  Commission FY2028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  Opening CWIP</t>
        </is>
      </c>
      <c r="B6" s="26" t="n">
        <v>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44" t="n">
        <v>15</v>
      </c>
      <c r="H6" s="44">
        <f>G9</f>
        <v/>
      </c>
      <c r="I6" s="44">
        <f>H9</f>
        <v/>
      </c>
      <c r="J6" s="44">
        <f>I9</f>
        <v/>
      </c>
      <c r="K6" s="44">
        <f>J9</f>
        <v/>
      </c>
      <c r="L6" s="44">
        <f>K9</f>
        <v/>
      </c>
      <c r="M6" s="44">
        <f>L9</f>
        <v/>
      </c>
      <c r="N6" s="44">
        <f>M9</f>
        <v/>
      </c>
      <c r="O6" s="44">
        <f>N9</f>
        <v/>
      </c>
      <c r="P6" s="44">
        <f>O9</f>
        <v/>
      </c>
    </row>
    <row r="7">
      <c r="A7" s="17" t="inlineStr">
        <is>
          <t xml:space="preserve">    + Capex Incurred (from Project Register v2)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44">
        <f>'Project Register v2'!G32</f>
        <v/>
      </c>
      <c r="H7" s="44">
        <f>'Project Register v2'!H32</f>
        <v/>
      </c>
      <c r="I7" s="44">
        <f>'Project Register v2'!I32</f>
        <v/>
      </c>
      <c r="J7" s="44">
        <f>'Project Register v2'!J32</f>
        <v/>
      </c>
      <c r="K7" s="44">
        <f>'Project Register v2'!K32</f>
        <v/>
      </c>
      <c r="L7" s="44">
        <f>'Project Register v2'!L32</f>
        <v/>
      </c>
      <c r="M7" s="44">
        <f>'Project Register v2'!M32</f>
        <v/>
      </c>
      <c r="N7" s="44">
        <f>'Project Register v2'!N32</f>
        <v/>
      </c>
      <c r="O7" s="44">
        <f>'Project Register v2'!O32</f>
        <v/>
      </c>
      <c r="P7" s="44">
        <f>'Project Register v2'!P32</f>
        <v/>
      </c>
    </row>
    <row r="8">
      <c r="A8" s="17" t="inlineStr">
        <is>
          <t xml:space="preserve">    − Capex Commissioned (flips to in-service in FY shown)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44">
        <f>IF(2024&gt;=$B$31,G6+G7,0)</f>
        <v/>
      </c>
      <c r="H8" s="44">
        <f>IF(2025&gt;=$B$31,H6+H7,0)</f>
        <v/>
      </c>
      <c r="I8" s="44">
        <f>IF(2026&gt;=$B$31,I6+I7,0)</f>
        <v/>
      </c>
      <c r="J8" s="44">
        <f>IF(2027&gt;=$B$31,J6+J7,0)</f>
        <v/>
      </c>
      <c r="K8" s="44">
        <f>IF(2028&gt;=$B$31,K6+K7,0)</f>
        <v/>
      </c>
      <c r="L8" s="44">
        <f>IF(2029&gt;=$B$31,L6+L7,0)</f>
        <v/>
      </c>
      <c r="M8" s="44">
        <f>IF(2030&gt;=$B$31,M6+M7,0)</f>
        <v/>
      </c>
      <c r="N8" s="44">
        <f>IF(2031&gt;=$B$31,N6+N7,0)</f>
        <v/>
      </c>
      <c r="O8" s="44">
        <f>IF(2032&gt;=$B$31,O6+O7,0)</f>
        <v/>
      </c>
      <c r="P8" s="44">
        <f>IF(2033&gt;=$B$31,P6+P7,0)</f>
        <v/>
      </c>
    </row>
    <row r="9">
      <c r="A9" s="17" t="inlineStr">
        <is>
          <t xml:space="preserve">    = Closing CWIP</t>
        </is>
      </c>
      <c r="B9" s="45" t="n">
        <v>0</v>
      </c>
      <c r="C9" s="45" t="n">
        <v>0</v>
      </c>
      <c r="D9" s="45" t="n">
        <v>0</v>
      </c>
      <c r="E9" s="45" t="n">
        <v>0</v>
      </c>
      <c r="F9" s="45" t="n">
        <v>0</v>
      </c>
      <c r="G9" s="42">
        <f>G6+G7-G8</f>
        <v/>
      </c>
      <c r="H9" s="42">
        <f>H6+H7-H8</f>
        <v/>
      </c>
      <c r="I9" s="42">
        <f>I6+I7-I8</f>
        <v/>
      </c>
      <c r="J9" s="42">
        <f>J6+J7-J8</f>
        <v/>
      </c>
      <c r="K9" s="42">
        <f>K6+K7-K8</f>
        <v/>
      </c>
      <c r="L9" s="42">
        <f>L6+L7-L8</f>
        <v/>
      </c>
      <c r="M9" s="42">
        <f>M6+M7-M8</f>
        <v/>
      </c>
      <c r="N9" s="42">
        <f>N6+N7-N8</f>
        <v/>
      </c>
      <c r="O9" s="42">
        <f>O6+O7-O8</f>
        <v/>
      </c>
      <c r="P9" s="42">
        <f>P6+P7-P8</f>
        <v/>
      </c>
    </row>
    <row r="11">
      <c r="A11" s="40" t="inlineStr">
        <is>
          <t>P002 Substation Upgrades — Zone A  |  Commission FY2026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</row>
    <row r="12">
      <c r="A12" s="17" t="inlineStr">
        <is>
          <t xml:space="preserve">    Opening CWIP</t>
        </is>
      </c>
      <c r="B12" s="26" t="n">
        <v>0</v>
      </c>
      <c r="C12" s="26">
        <f>B15</f>
        <v/>
      </c>
      <c r="D12" s="26">
        <f>C15</f>
        <v/>
      </c>
      <c r="E12" s="26">
        <f>D15</f>
        <v/>
      </c>
      <c r="F12" s="26">
        <f>E15</f>
        <v/>
      </c>
      <c r="G12" s="44" t="n">
        <v>5</v>
      </c>
      <c r="H12" s="44">
        <f>G15</f>
        <v/>
      </c>
      <c r="I12" s="44">
        <f>H15</f>
        <v/>
      </c>
      <c r="J12" s="44">
        <f>I15</f>
        <v/>
      </c>
      <c r="K12" s="44">
        <f>J15</f>
        <v/>
      </c>
      <c r="L12" s="44">
        <f>K15</f>
        <v/>
      </c>
      <c r="M12" s="44">
        <f>L15</f>
        <v/>
      </c>
      <c r="N12" s="44">
        <f>M15</f>
        <v/>
      </c>
      <c r="O12" s="44">
        <f>N15</f>
        <v/>
      </c>
      <c r="P12" s="44">
        <f>O15</f>
        <v/>
      </c>
    </row>
    <row r="13">
      <c r="A13" s="17" t="inlineStr">
        <is>
          <t xml:space="preserve">    + Capex Incurred (from Project Register v2)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44">
        <f>'Project Register v2'!G62</f>
        <v/>
      </c>
      <c r="H13" s="44">
        <f>'Project Register v2'!H62</f>
        <v/>
      </c>
      <c r="I13" s="44">
        <f>'Project Register v2'!I62</f>
        <v/>
      </c>
      <c r="J13" s="44">
        <f>'Project Register v2'!J62</f>
        <v/>
      </c>
      <c r="K13" s="44">
        <f>'Project Register v2'!K62</f>
        <v/>
      </c>
      <c r="L13" s="44">
        <f>'Project Register v2'!L62</f>
        <v/>
      </c>
      <c r="M13" s="44">
        <f>'Project Register v2'!M62</f>
        <v/>
      </c>
      <c r="N13" s="44">
        <f>'Project Register v2'!N62</f>
        <v/>
      </c>
      <c r="O13" s="44">
        <f>'Project Register v2'!O62</f>
        <v/>
      </c>
      <c r="P13" s="44">
        <f>'Project Register v2'!P62</f>
        <v/>
      </c>
    </row>
    <row r="14">
      <c r="A14" s="17" t="inlineStr">
        <is>
          <t xml:space="preserve">    − Capex Commissioned (flips to in-service in FY shown)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44">
        <f>IF(2024&gt;=$B$61,G12+G13,0)</f>
        <v/>
      </c>
      <c r="H14" s="44">
        <f>IF(2025&gt;=$B$61,H12+H13,0)</f>
        <v/>
      </c>
      <c r="I14" s="44">
        <f>IF(2026&gt;=$B$61,I12+I13,0)</f>
        <v/>
      </c>
      <c r="J14" s="44">
        <f>IF(2027&gt;=$B$61,J12+J13,0)</f>
        <v/>
      </c>
      <c r="K14" s="44">
        <f>IF(2028&gt;=$B$61,K12+K13,0)</f>
        <v/>
      </c>
      <c r="L14" s="44">
        <f>IF(2029&gt;=$B$61,L12+L13,0)</f>
        <v/>
      </c>
      <c r="M14" s="44">
        <f>IF(2030&gt;=$B$61,M12+M13,0)</f>
        <v/>
      </c>
      <c r="N14" s="44">
        <f>IF(2031&gt;=$B$61,N12+N13,0)</f>
        <v/>
      </c>
      <c r="O14" s="44">
        <f>IF(2032&gt;=$B$61,O12+O13,0)</f>
        <v/>
      </c>
      <c r="P14" s="44">
        <f>IF(2033&gt;=$B$61,P12+P13,0)</f>
        <v/>
      </c>
    </row>
    <row r="15">
      <c r="A15" s="17" t="inlineStr">
        <is>
          <t xml:space="preserve">    = Closing CWIP</t>
        </is>
      </c>
      <c r="B15" s="45" t="n">
        <v>0</v>
      </c>
      <c r="C15" s="45" t="n">
        <v>0</v>
      </c>
      <c r="D15" s="45" t="n">
        <v>0</v>
      </c>
      <c r="E15" s="45" t="n">
        <v>0</v>
      </c>
      <c r="F15" s="45" t="n">
        <v>0</v>
      </c>
      <c r="G15" s="42">
        <f>G12+G13-G14</f>
        <v/>
      </c>
      <c r="H15" s="42">
        <f>H12+H13-H14</f>
        <v/>
      </c>
      <c r="I15" s="42">
        <f>I12+I13-I14</f>
        <v/>
      </c>
      <c r="J15" s="42">
        <f>J12+J13-J14</f>
        <v/>
      </c>
      <c r="K15" s="42">
        <f>K12+K13-K14</f>
        <v/>
      </c>
      <c r="L15" s="42">
        <f>L12+L13-L14</f>
        <v/>
      </c>
      <c r="M15" s="42">
        <f>M12+M13-M14</f>
        <v/>
      </c>
      <c r="N15" s="42">
        <f>N12+N13-N14</f>
        <v/>
      </c>
      <c r="O15" s="42">
        <f>O12+O13-O14</f>
        <v/>
      </c>
      <c r="P15" s="42">
        <f>P12+P13-P14</f>
        <v/>
      </c>
    </row>
    <row r="17">
      <c r="A17" s="36" t="inlineStr">
        <is>
          <t>P003 HVDC Interconnect (Stage 1)  |  Commission FY2029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</row>
    <row r="18">
      <c r="A18" s="17" t="inlineStr">
        <is>
          <t xml:space="preserve">    Opening CWIP</t>
        </is>
      </c>
      <c r="B18" s="26" t="n">
        <v>0</v>
      </c>
      <c r="C18" s="26">
        <f>B21</f>
        <v/>
      </c>
      <c r="D18" s="26">
        <f>C21</f>
        <v/>
      </c>
      <c r="E18" s="26">
        <f>D21</f>
        <v/>
      </c>
      <c r="F18" s="26">
        <f>E21</f>
        <v/>
      </c>
      <c r="G18" s="44" t="n">
        <v>0</v>
      </c>
      <c r="H18" s="44">
        <f>G21</f>
        <v/>
      </c>
      <c r="I18" s="44">
        <f>H21</f>
        <v/>
      </c>
      <c r="J18" s="44">
        <f>I21</f>
        <v/>
      </c>
      <c r="K18" s="44">
        <f>J21</f>
        <v/>
      </c>
      <c r="L18" s="44">
        <f>K21</f>
        <v/>
      </c>
      <c r="M18" s="44">
        <f>L21</f>
        <v/>
      </c>
      <c r="N18" s="44">
        <f>M21</f>
        <v/>
      </c>
      <c r="O18" s="44">
        <f>N21</f>
        <v/>
      </c>
      <c r="P18" s="44">
        <f>O21</f>
        <v/>
      </c>
    </row>
    <row r="19">
      <c r="A19" s="17" t="inlineStr">
        <is>
          <t xml:space="preserve">    + Capex Incurred (from Project Register v2)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44">
        <f>'Project Register v2'!G92</f>
        <v/>
      </c>
      <c r="H19" s="44">
        <f>'Project Register v2'!H92</f>
        <v/>
      </c>
      <c r="I19" s="44">
        <f>'Project Register v2'!I92</f>
        <v/>
      </c>
      <c r="J19" s="44">
        <f>'Project Register v2'!J92</f>
        <v/>
      </c>
      <c r="K19" s="44">
        <f>'Project Register v2'!K92</f>
        <v/>
      </c>
      <c r="L19" s="44">
        <f>'Project Register v2'!L92</f>
        <v/>
      </c>
      <c r="M19" s="44">
        <f>'Project Register v2'!M92</f>
        <v/>
      </c>
      <c r="N19" s="44">
        <f>'Project Register v2'!N92</f>
        <v/>
      </c>
      <c r="O19" s="44">
        <f>'Project Register v2'!O92</f>
        <v/>
      </c>
      <c r="P19" s="44">
        <f>'Project Register v2'!P92</f>
        <v/>
      </c>
    </row>
    <row r="20">
      <c r="A20" s="17" t="inlineStr">
        <is>
          <t xml:space="preserve">    − Capex Commissioned (flips to in-service in FY shown)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44">
        <f>IF(2024&gt;=$B$91,G18+G19,0)</f>
        <v/>
      </c>
      <c r="H20" s="44">
        <f>IF(2025&gt;=$B$91,H18+H19,0)</f>
        <v/>
      </c>
      <c r="I20" s="44">
        <f>IF(2026&gt;=$B$91,I18+I19,0)</f>
        <v/>
      </c>
      <c r="J20" s="44">
        <f>IF(2027&gt;=$B$91,J18+J19,0)</f>
        <v/>
      </c>
      <c r="K20" s="44">
        <f>IF(2028&gt;=$B$91,K18+K19,0)</f>
        <v/>
      </c>
      <c r="L20" s="44">
        <f>IF(2029&gt;=$B$91,L18+L19,0)</f>
        <v/>
      </c>
      <c r="M20" s="44">
        <f>IF(2030&gt;=$B$91,M18+M19,0)</f>
        <v/>
      </c>
      <c r="N20" s="44">
        <f>IF(2031&gt;=$B$91,N18+N19,0)</f>
        <v/>
      </c>
      <c r="O20" s="44">
        <f>IF(2032&gt;=$B$91,O18+O19,0)</f>
        <v/>
      </c>
      <c r="P20" s="44">
        <f>IF(2033&gt;=$B$91,P18+P19,0)</f>
        <v/>
      </c>
    </row>
    <row r="21">
      <c r="A21" s="17" t="inlineStr">
        <is>
          <t xml:space="preserve">    = Closing CWIP</t>
        </is>
      </c>
      <c r="B21" s="45" t="n">
        <v>0</v>
      </c>
      <c r="C21" s="45" t="n">
        <v>0</v>
      </c>
      <c r="D21" s="45" t="n">
        <v>0</v>
      </c>
      <c r="E21" s="45" t="n">
        <v>0</v>
      </c>
      <c r="F21" s="45" t="n">
        <v>0</v>
      </c>
      <c r="G21" s="42">
        <f>G18+G19-G20</f>
        <v/>
      </c>
      <c r="H21" s="42">
        <f>H18+H19-H20</f>
        <v/>
      </c>
      <c r="I21" s="42">
        <f>I18+I19-I20</f>
        <v/>
      </c>
      <c r="J21" s="42">
        <f>J18+J19-J20</f>
        <v/>
      </c>
      <c r="K21" s="42">
        <f>K18+K19-K20</f>
        <v/>
      </c>
      <c r="L21" s="42">
        <f>L18+L19-L20</f>
        <v/>
      </c>
      <c r="M21" s="42">
        <f>M18+M19-M20</f>
        <v/>
      </c>
      <c r="N21" s="42">
        <f>N18+N19-N20</f>
        <v/>
      </c>
      <c r="O21" s="42">
        <f>O18+O19-O20</f>
        <v/>
      </c>
      <c r="P21" s="42">
        <f>P18+P19-P20</f>
        <v/>
      </c>
    </row>
    <row r="23">
      <c r="A23" s="41" t="inlineStr">
        <is>
          <t>P004 New Connection — Wind Farm A  |  Commission FY2025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</row>
    <row r="24">
      <c r="A24" s="17" t="inlineStr">
        <is>
          <t xml:space="preserve">    Opening CWIP</t>
        </is>
      </c>
      <c r="B24" s="26" t="n">
        <v>0</v>
      </c>
      <c r="C24" s="26">
        <f>B27</f>
        <v/>
      </c>
      <c r="D24" s="26">
        <f>C27</f>
        <v/>
      </c>
      <c r="E24" s="26">
        <f>D27</f>
        <v/>
      </c>
      <c r="F24" s="26">
        <f>E27</f>
        <v/>
      </c>
      <c r="G24" s="44" t="n">
        <v>0</v>
      </c>
      <c r="H24" s="44">
        <f>G27</f>
        <v/>
      </c>
      <c r="I24" s="44">
        <f>H27</f>
        <v/>
      </c>
      <c r="J24" s="44">
        <f>I27</f>
        <v/>
      </c>
      <c r="K24" s="44">
        <f>J27</f>
        <v/>
      </c>
      <c r="L24" s="44">
        <f>K27</f>
        <v/>
      </c>
      <c r="M24" s="44">
        <f>L27</f>
        <v/>
      </c>
      <c r="N24" s="44">
        <f>M27</f>
        <v/>
      </c>
      <c r="O24" s="44">
        <f>N27</f>
        <v/>
      </c>
      <c r="P24" s="44">
        <f>O27</f>
        <v/>
      </c>
    </row>
    <row r="25">
      <c r="A25" s="17" t="inlineStr">
        <is>
          <t xml:space="preserve">    + Capex Incurred (from Project Register v2)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44">
        <f>'Project Register v2'!G122</f>
        <v/>
      </c>
      <c r="H25" s="44">
        <f>'Project Register v2'!H122</f>
        <v/>
      </c>
      <c r="I25" s="44">
        <f>'Project Register v2'!I122</f>
        <v/>
      </c>
      <c r="J25" s="44">
        <f>'Project Register v2'!J122</f>
        <v/>
      </c>
      <c r="K25" s="44">
        <f>'Project Register v2'!K122</f>
        <v/>
      </c>
      <c r="L25" s="44">
        <f>'Project Register v2'!L122</f>
        <v/>
      </c>
      <c r="M25" s="44">
        <f>'Project Register v2'!M122</f>
        <v/>
      </c>
      <c r="N25" s="44">
        <f>'Project Register v2'!N122</f>
        <v/>
      </c>
      <c r="O25" s="44">
        <f>'Project Register v2'!O122</f>
        <v/>
      </c>
      <c r="P25" s="44">
        <f>'Project Register v2'!P122</f>
        <v/>
      </c>
    </row>
    <row r="26">
      <c r="A26" s="17" t="inlineStr">
        <is>
          <t xml:space="preserve">    − Capex Commissioned (flips to in-service in FY shown)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44">
        <f>IF(2024&gt;=$B$121,G24+G25,0)</f>
        <v/>
      </c>
      <c r="H26" s="44">
        <f>IF(2025&gt;=$B$121,H24+H25,0)</f>
        <v/>
      </c>
      <c r="I26" s="44">
        <f>IF(2026&gt;=$B$121,I24+I25,0)</f>
        <v/>
      </c>
      <c r="J26" s="44">
        <f>IF(2027&gt;=$B$121,J24+J25,0)</f>
        <v/>
      </c>
      <c r="K26" s="44">
        <f>IF(2028&gt;=$B$121,K24+K25,0)</f>
        <v/>
      </c>
      <c r="L26" s="44">
        <f>IF(2029&gt;=$B$121,L24+L25,0)</f>
        <v/>
      </c>
      <c r="M26" s="44">
        <f>IF(2030&gt;=$B$121,M24+M25,0)</f>
        <v/>
      </c>
      <c r="N26" s="44">
        <f>IF(2031&gt;=$B$121,N24+N25,0)</f>
        <v/>
      </c>
      <c r="O26" s="44">
        <f>IF(2032&gt;=$B$121,O24+O25,0)</f>
        <v/>
      </c>
      <c r="P26" s="44">
        <f>IF(2033&gt;=$B$121,P24+P25,0)</f>
        <v/>
      </c>
    </row>
    <row r="27">
      <c r="A27" s="17" t="inlineStr">
        <is>
          <t xml:space="preserve">    = Closing CWIP</t>
        </is>
      </c>
      <c r="B27" s="45" t="n">
        <v>0</v>
      </c>
      <c r="C27" s="45" t="n">
        <v>0</v>
      </c>
      <c r="D27" s="45" t="n">
        <v>0</v>
      </c>
      <c r="E27" s="45" t="n">
        <v>0</v>
      </c>
      <c r="F27" s="45" t="n">
        <v>0</v>
      </c>
      <c r="G27" s="42">
        <f>G24+G25-G26</f>
        <v/>
      </c>
      <c r="H27" s="42">
        <f>H24+H25-H26</f>
        <v/>
      </c>
      <c r="I27" s="42">
        <f>I24+I25-I26</f>
        <v/>
      </c>
      <c r="J27" s="42">
        <f>J24+J25-J26</f>
        <v/>
      </c>
      <c r="K27" s="42">
        <f>K24+K25-K26</f>
        <v/>
      </c>
      <c r="L27" s="42">
        <f>L24+L25-L26</f>
        <v/>
      </c>
      <c r="M27" s="42">
        <f>M24+M25-M26</f>
        <v/>
      </c>
      <c r="N27" s="42">
        <f>N24+N25-N26</f>
        <v/>
      </c>
      <c r="O27" s="42">
        <f>O24+O25-O26</f>
        <v/>
      </c>
      <c r="P27" s="42">
        <f>P24+P25-P26</f>
        <v/>
      </c>
    </row>
    <row r="29">
      <c r="A29" s="40" t="inlineStr">
        <is>
          <t>P005 Transformer Replacement Program  |  Commission FY2031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  Opening CWIP</t>
        </is>
      </c>
      <c r="B30" s="26" t="n">
        <v>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44" t="n">
        <v>0</v>
      </c>
      <c r="H30" s="44">
        <f>G33</f>
        <v/>
      </c>
      <c r="I30" s="44">
        <f>H33</f>
        <v/>
      </c>
      <c r="J30" s="44">
        <f>I33</f>
        <v/>
      </c>
      <c r="K30" s="44">
        <f>J33</f>
        <v/>
      </c>
      <c r="L30" s="44">
        <f>K33</f>
        <v/>
      </c>
      <c r="M30" s="44">
        <f>L33</f>
        <v/>
      </c>
      <c r="N30" s="44">
        <f>M33</f>
        <v/>
      </c>
      <c r="O30" s="44">
        <f>N33</f>
        <v/>
      </c>
      <c r="P30" s="44">
        <f>O33</f>
        <v/>
      </c>
    </row>
    <row r="31">
      <c r="A31" s="17" t="inlineStr">
        <is>
          <t xml:space="preserve">    + Capex Incurred (from Project Register v2)</t>
        </is>
      </c>
      <c r="B31" s="26" t="n">
        <v>0</v>
      </c>
      <c r="C31" s="26" t="n">
        <v>0</v>
      </c>
      <c r="D31" s="26" t="n">
        <v>0</v>
      </c>
      <c r="E31" s="26" t="n">
        <v>0</v>
      </c>
      <c r="F31" s="26" t="n">
        <v>0</v>
      </c>
      <c r="G31" s="44">
        <f>'Project Register v2'!G152</f>
        <v/>
      </c>
      <c r="H31" s="44">
        <f>'Project Register v2'!H152</f>
        <v/>
      </c>
      <c r="I31" s="44">
        <f>'Project Register v2'!I152</f>
        <v/>
      </c>
      <c r="J31" s="44">
        <f>'Project Register v2'!J152</f>
        <v/>
      </c>
      <c r="K31" s="44">
        <f>'Project Register v2'!K152</f>
        <v/>
      </c>
      <c r="L31" s="44">
        <f>'Project Register v2'!L152</f>
        <v/>
      </c>
      <c r="M31" s="44">
        <f>'Project Register v2'!M152</f>
        <v/>
      </c>
      <c r="N31" s="44">
        <f>'Project Register v2'!N152</f>
        <v/>
      </c>
      <c r="O31" s="44">
        <f>'Project Register v2'!O152</f>
        <v/>
      </c>
      <c r="P31" s="44">
        <f>'Project Register v2'!P152</f>
        <v/>
      </c>
    </row>
    <row r="32">
      <c r="A32" s="17" t="inlineStr">
        <is>
          <t xml:space="preserve">    − Capex Commissioned (flips to in-service in FY shown)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44">
        <f>IF(2024&gt;=$B$151,G30+G31,0)</f>
        <v/>
      </c>
      <c r="H32" s="44">
        <f>IF(2025&gt;=$B$151,H30+H31,0)</f>
        <v/>
      </c>
      <c r="I32" s="44">
        <f>IF(2026&gt;=$B$151,I30+I31,0)</f>
        <v/>
      </c>
      <c r="J32" s="44">
        <f>IF(2027&gt;=$B$151,J30+J31,0)</f>
        <v/>
      </c>
      <c r="K32" s="44">
        <f>IF(2028&gt;=$B$151,K30+K31,0)</f>
        <v/>
      </c>
      <c r="L32" s="44">
        <f>IF(2029&gt;=$B$151,L30+L31,0)</f>
        <v/>
      </c>
      <c r="M32" s="44">
        <f>IF(2030&gt;=$B$151,M30+M31,0)</f>
        <v/>
      </c>
      <c r="N32" s="44">
        <f>IF(2031&gt;=$B$151,N30+N31,0)</f>
        <v/>
      </c>
      <c r="O32" s="44">
        <f>IF(2032&gt;=$B$151,O30+O31,0)</f>
        <v/>
      </c>
      <c r="P32" s="44">
        <f>IF(2033&gt;=$B$151,P30+P31,0)</f>
        <v/>
      </c>
    </row>
    <row r="33">
      <c r="A33" s="17" t="inlineStr">
        <is>
          <t xml:space="preserve">    = Closing CWIP</t>
        </is>
      </c>
      <c r="B33" s="45" t="n">
        <v>0</v>
      </c>
      <c r="C33" s="45" t="n">
        <v>0</v>
      </c>
      <c r="D33" s="45" t="n">
        <v>0</v>
      </c>
      <c r="E33" s="45" t="n">
        <v>0</v>
      </c>
      <c r="F33" s="45" t="n">
        <v>0</v>
      </c>
      <c r="G33" s="42">
        <f>G30+G31-G32</f>
        <v/>
      </c>
      <c r="H33" s="42">
        <f>H30+H31-H32</f>
        <v/>
      </c>
      <c r="I33" s="42">
        <f>I30+I31-I32</f>
        <v/>
      </c>
      <c r="J33" s="42">
        <f>J30+J31-J32</f>
        <v/>
      </c>
      <c r="K33" s="42">
        <f>K30+K31-K32</f>
        <v/>
      </c>
      <c r="L33" s="42">
        <f>L30+L31-L32</f>
        <v/>
      </c>
      <c r="M33" s="42">
        <f>M30+M31-M32</f>
        <v/>
      </c>
      <c r="N33" s="42">
        <f>N30+N31-N32</f>
        <v/>
      </c>
      <c r="O33" s="42">
        <f>O30+O31-O32</f>
        <v/>
      </c>
      <c r="P33" s="42">
        <f>P30+P31-P32</f>
        <v/>
      </c>
    </row>
    <row r="35">
      <c r="A35" s="40" t="inlineStr">
        <is>
          <t>P006 Protection Relay Upgrade  |  Commission FY2027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</row>
    <row r="36">
      <c r="A36" s="17" t="inlineStr">
        <is>
          <t xml:space="preserve">    Opening CWIP</t>
        </is>
      </c>
      <c r="B36" s="26" t="n">
        <v>0</v>
      </c>
      <c r="C36" s="26">
        <f>B39</f>
        <v/>
      </c>
      <c r="D36" s="26">
        <f>C39</f>
        <v/>
      </c>
      <c r="E36" s="26">
        <f>D39</f>
        <v/>
      </c>
      <c r="F36" s="26">
        <f>E39</f>
        <v/>
      </c>
      <c r="G36" s="44" t="n">
        <v>0</v>
      </c>
      <c r="H36" s="44">
        <f>G39</f>
        <v/>
      </c>
      <c r="I36" s="44">
        <f>H39</f>
        <v/>
      </c>
      <c r="J36" s="44">
        <f>I39</f>
        <v/>
      </c>
      <c r="K36" s="44">
        <f>J39</f>
        <v/>
      </c>
      <c r="L36" s="44">
        <f>K39</f>
        <v/>
      </c>
      <c r="M36" s="44">
        <f>L39</f>
        <v/>
      </c>
      <c r="N36" s="44">
        <f>M39</f>
        <v/>
      </c>
      <c r="O36" s="44">
        <f>N39</f>
        <v/>
      </c>
      <c r="P36" s="44">
        <f>O39</f>
        <v/>
      </c>
    </row>
    <row r="37">
      <c r="A37" s="17" t="inlineStr">
        <is>
          <t xml:space="preserve">    + Capex Incurred (from Project Register v2)</t>
        </is>
      </c>
      <c r="B37" s="26" t="n">
        <v>0</v>
      </c>
      <c r="C37" s="26" t="n">
        <v>0</v>
      </c>
      <c r="D37" s="26" t="n">
        <v>0</v>
      </c>
      <c r="E37" s="26" t="n">
        <v>0</v>
      </c>
      <c r="F37" s="26" t="n">
        <v>0</v>
      </c>
      <c r="G37" s="44">
        <f>'Project Register v2'!G182</f>
        <v/>
      </c>
      <c r="H37" s="44">
        <f>'Project Register v2'!H182</f>
        <v/>
      </c>
      <c r="I37" s="44">
        <f>'Project Register v2'!I182</f>
        <v/>
      </c>
      <c r="J37" s="44">
        <f>'Project Register v2'!J182</f>
        <v/>
      </c>
      <c r="K37" s="44">
        <f>'Project Register v2'!K182</f>
        <v/>
      </c>
      <c r="L37" s="44">
        <f>'Project Register v2'!L182</f>
        <v/>
      </c>
      <c r="M37" s="44">
        <f>'Project Register v2'!M182</f>
        <v/>
      </c>
      <c r="N37" s="44">
        <f>'Project Register v2'!N182</f>
        <v/>
      </c>
      <c r="O37" s="44">
        <f>'Project Register v2'!O182</f>
        <v/>
      </c>
      <c r="P37" s="44">
        <f>'Project Register v2'!P182</f>
        <v/>
      </c>
    </row>
    <row r="38">
      <c r="A38" s="17" t="inlineStr">
        <is>
          <t xml:space="preserve">    − Capex Commissioned (flips to in-service in FY shown)</t>
        </is>
      </c>
      <c r="B38" s="26" t="n">
        <v>0</v>
      </c>
      <c r="C38" s="26" t="n">
        <v>0</v>
      </c>
      <c r="D38" s="26" t="n">
        <v>0</v>
      </c>
      <c r="E38" s="26" t="n">
        <v>0</v>
      </c>
      <c r="F38" s="26" t="n">
        <v>0</v>
      </c>
      <c r="G38" s="44">
        <f>IF(2024&gt;=$B$181,G36+G37,0)</f>
        <v/>
      </c>
      <c r="H38" s="44">
        <f>IF(2025&gt;=$B$181,H36+H37,0)</f>
        <v/>
      </c>
      <c r="I38" s="44">
        <f>IF(2026&gt;=$B$181,I36+I37,0)</f>
        <v/>
      </c>
      <c r="J38" s="44">
        <f>IF(2027&gt;=$B$181,J36+J37,0)</f>
        <v/>
      </c>
      <c r="K38" s="44">
        <f>IF(2028&gt;=$B$181,K36+K37,0)</f>
        <v/>
      </c>
      <c r="L38" s="44">
        <f>IF(2029&gt;=$B$181,L36+L37,0)</f>
        <v/>
      </c>
      <c r="M38" s="44">
        <f>IF(2030&gt;=$B$181,M36+M37,0)</f>
        <v/>
      </c>
      <c r="N38" s="44">
        <f>IF(2031&gt;=$B$181,N36+N37,0)</f>
        <v/>
      </c>
      <c r="O38" s="44">
        <f>IF(2032&gt;=$B$181,O36+O37,0)</f>
        <v/>
      </c>
      <c r="P38" s="44">
        <f>IF(2033&gt;=$B$181,P36+P37,0)</f>
        <v/>
      </c>
    </row>
    <row r="39">
      <c r="A39" s="17" t="inlineStr">
        <is>
          <t xml:space="preserve">    = Closing CWIP</t>
        </is>
      </c>
      <c r="B39" s="45" t="n">
        <v>0</v>
      </c>
      <c r="C39" s="45" t="n">
        <v>0</v>
      </c>
      <c r="D39" s="45" t="n">
        <v>0</v>
      </c>
      <c r="E39" s="45" t="n">
        <v>0</v>
      </c>
      <c r="F39" s="45" t="n">
        <v>0</v>
      </c>
      <c r="G39" s="42">
        <f>G36+G37-G38</f>
        <v/>
      </c>
      <c r="H39" s="42">
        <f>H36+H37-H38</f>
        <v/>
      </c>
      <c r="I39" s="42">
        <f>I36+I37-I38</f>
        <v/>
      </c>
      <c r="J39" s="42">
        <f>J36+J37-J38</f>
        <v/>
      </c>
      <c r="K39" s="42">
        <f>K36+K37-K38</f>
        <v/>
      </c>
      <c r="L39" s="42">
        <f>L36+L37-L38</f>
        <v/>
      </c>
      <c r="M39" s="42">
        <f>M36+M37-M38</f>
        <v/>
      </c>
      <c r="N39" s="42">
        <f>N36+N37-N38</f>
        <v/>
      </c>
      <c r="O39" s="42">
        <f>O36+O37-O38</f>
        <v/>
      </c>
      <c r="P39" s="42">
        <f>P36+P37-P38</f>
        <v/>
      </c>
    </row>
    <row r="41">
      <c r="A41" s="41" t="inlineStr">
        <is>
          <t>P007 New Connection — Solar Farm B  |  Commission FY2026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</row>
    <row r="42">
      <c r="A42" s="17" t="inlineStr">
        <is>
          <t xml:space="preserve">    Opening CWIP</t>
        </is>
      </c>
      <c r="B42" s="26" t="n">
        <v>0</v>
      </c>
      <c r="C42" s="26">
        <f>B45</f>
        <v/>
      </c>
      <c r="D42" s="26">
        <f>C45</f>
        <v/>
      </c>
      <c r="E42" s="26">
        <f>D45</f>
        <v/>
      </c>
      <c r="F42" s="26">
        <f>E45</f>
        <v/>
      </c>
      <c r="G42" s="44" t="n">
        <v>0</v>
      </c>
      <c r="H42" s="44">
        <f>G45</f>
        <v/>
      </c>
      <c r="I42" s="44">
        <f>H45</f>
        <v/>
      </c>
      <c r="J42" s="44">
        <f>I45</f>
        <v/>
      </c>
      <c r="K42" s="44">
        <f>J45</f>
        <v/>
      </c>
      <c r="L42" s="44">
        <f>K45</f>
        <v/>
      </c>
      <c r="M42" s="44">
        <f>L45</f>
        <v/>
      </c>
      <c r="N42" s="44">
        <f>M45</f>
        <v/>
      </c>
      <c r="O42" s="44">
        <f>N45</f>
        <v/>
      </c>
      <c r="P42" s="44">
        <f>O45</f>
        <v/>
      </c>
    </row>
    <row r="43">
      <c r="A43" s="17" t="inlineStr">
        <is>
          <t xml:space="preserve">    + Capex Incurred (from Project Register v2)</t>
        </is>
      </c>
      <c r="B43" s="26" t="n">
        <v>0</v>
      </c>
      <c r="C43" s="26" t="n">
        <v>0</v>
      </c>
      <c r="D43" s="26" t="n">
        <v>0</v>
      </c>
      <c r="E43" s="26" t="n">
        <v>0</v>
      </c>
      <c r="F43" s="26" t="n">
        <v>0</v>
      </c>
      <c r="G43" s="44">
        <f>'Project Register v2'!G212</f>
        <v/>
      </c>
      <c r="H43" s="44">
        <f>'Project Register v2'!H212</f>
        <v/>
      </c>
      <c r="I43" s="44">
        <f>'Project Register v2'!I212</f>
        <v/>
      </c>
      <c r="J43" s="44">
        <f>'Project Register v2'!J212</f>
        <v/>
      </c>
      <c r="K43" s="44">
        <f>'Project Register v2'!K212</f>
        <v/>
      </c>
      <c r="L43" s="44">
        <f>'Project Register v2'!L212</f>
        <v/>
      </c>
      <c r="M43" s="44">
        <f>'Project Register v2'!M212</f>
        <v/>
      </c>
      <c r="N43" s="44">
        <f>'Project Register v2'!N212</f>
        <v/>
      </c>
      <c r="O43" s="44">
        <f>'Project Register v2'!O212</f>
        <v/>
      </c>
      <c r="P43" s="44">
        <f>'Project Register v2'!P212</f>
        <v/>
      </c>
    </row>
    <row r="44">
      <c r="A44" s="17" t="inlineStr">
        <is>
          <t xml:space="preserve">    − Capex Commissioned (flips to in-service in FY shown)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  <c r="G44" s="44">
        <f>IF(2024&gt;=$B$211,G42+G43,0)</f>
        <v/>
      </c>
      <c r="H44" s="44">
        <f>IF(2025&gt;=$B$211,H42+H43,0)</f>
        <v/>
      </c>
      <c r="I44" s="44">
        <f>IF(2026&gt;=$B$211,I42+I43,0)</f>
        <v/>
      </c>
      <c r="J44" s="44">
        <f>IF(2027&gt;=$B$211,J42+J43,0)</f>
        <v/>
      </c>
      <c r="K44" s="44">
        <f>IF(2028&gt;=$B$211,K42+K43,0)</f>
        <v/>
      </c>
      <c r="L44" s="44">
        <f>IF(2029&gt;=$B$211,L42+L43,0)</f>
        <v/>
      </c>
      <c r="M44" s="44">
        <f>IF(2030&gt;=$B$211,M42+M43,0)</f>
        <v/>
      </c>
      <c r="N44" s="44">
        <f>IF(2031&gt;=$B$211,N42+N43,0)</f>
        <v/>
      </c>
      <c r="O44" s="44">
        <f>IF(2032&gt;=$B$211,O42+O43,0)</f>
        <v/>
      </c>
      <c r="P44" s="44">
        <f>IF(2033&gt;=$B$211,P42+P43,0)</f>
        <v/>
      </c>
    </row>
    <row r="45">
      <c r="A45" s="17" t="inlineStr">
        <is>
          <t xml:space="preserve">    = Closing CWIP</t>
        </is>
      </c>
      <c r="B45" s="45" t="n">
        <v>0</v>
      </c>
      <c r="C45" s="45" t="n">
        <v>0</v>
      </c>
      <c r="D45" s="45" t="n">
        <v>0</v>
      </c>
      <c r="E45" s="45" t="n">
        <v>0</v>
      </c>
      <c r="F45" s="45" t="n">
        <v>0</v>
      </c>
      <c r="G45" s="42">
        <f>G42+G43-G44</f>
        <v/>
      </c>
      <c r="H45" s="42">
        <f>H42+H43-H44</f>
        <v/>
      </c>
      <c r="I45" s="42">
        <f>I42+I43-I44</f>
        <v/>
      </c>
      <c r="J45" s="42">
        <f>J42+J43-J44</f>
        <v/>
      </c>
      <c r="K45" s="42">
        <f>K42+K43-K44</f>
        <v/>
      </c>
      <c r="L45" s="42">
        <f>L42+L43-L44</f>
        <v/>
      </c>
      <c r="M45" s="42">
        <f>M42+M43-M44</f>
        <v/>
      </c>
      <c r="N45" s="42">
        <f>N42+N43-N44</f>
        <v/>
      </c>
      <c r="O45" s="42">
        <f>O42+O43-O44</f>
        <v/>
      </c>
      <c r="P45" s="42">
        <f>P42+P43-P44</f>
        <v/>
      </c>
    </row>
    <row r="47">
      <c r="A47" s="40" t="inlineStr">
        <is>
          <t>P008 Transmission Reconductoring  |  Commission FY2031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</row>
    <row r="48">
      <c r="A48" s="17" t="inlineStr">
        <is>
          <t xml:space="preserve">    Opening CWIP</t>
        </is>
      </c>
      <c r="B48" s="26" t="n">
        <v>0</v>
      </c>
      <c r="C48" s="26">
        <f>B51</f>
        <v/>
      </c>
      <c r="D48" s="26">
        <f>C51</f>
        <v/>
      </c>
      <c r="E48" s="26">
        <f>D51</f>
        <v/>
      </c>
      <c r="F48" s="26">
        <f>E51</f>
        <v/>
      </c>
      <c r="G48" s="44" t="n">
        <v>0</v>
      </c>
      <c r="H48" s="44">
        <f>G51</f>
        <v/>
      </c>
      <c r="I48" s="44">
        <f>H51</f>
        <v/>
      </c>
      <c r="J48" s="44">
        <f>I51</f>
        <v/>
      </c>
      <c r="K48" s="44">
        <f>J51</f>
        <v/>
      </c>
      <c r="L48" s="44">
        <f>K51</f>
        <v/>
      </c>
      <c r="M48" s="44">
        <f>L51</f>
        <v/>
      </c>
      <c r="N48" s="44">
        <f>M51</f>
        <v/>
      </c>
      <c r="O48" s="44">
        <f>N51</f>
        <v/>
      </c>
      <c r="P48" s="44">
        <f>O51</f>
        <v/>
      </c>
    </row>
    <row r="49">
      <c r="A49" s="17" t="inlineStr">
        <is>
          <t xml:space="preserve">    + Capex Incurred (from Project Register v2)</t>
        </is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44">
        <f>'Project Register v2'!G242</f>
        <v/>
      </c>
      <c r="H49" s="44">
        <f>'Project Register v2'!H242</f>
        <v/>
      </c>
      <c r="I49" s="44">
        <f>'Project Register v2'!I242</f>
        <v/>
      </c>
      <c r="J49" s="44">
        <f>'Project Register v2'!J242</f>
        <v/>
      </c>
      <c r="K49" s="44">
        <f>'Project Register v2'!K242</f>
        <v/>
      </c>
      <c r="L49" s="44">
        <f>'Project Register v2'!L242</f>
        <v/>
      </c>
      <c r="M49" s="44">
        <f>'Project Register v2'!M242</f>
        <v/>
      </c>
      <c r="N49" s="44">
        <f>'Project Register v2'!N242</f>
        <v/>
      </c>
      <c r="O49" s="44">
        <f>'Project Register v2'!O242</f>
        <v/>
      </c>
      <c r="P49" s="44">
        <f>'Project Register v2'!P242</f>
        <v/>
      </c>
    </row>
    <row r="50">
      <c r="A50" s="17" t="inlineStr">
        <is>
          <t xml:space="preserve">    − Capex Commissioned (flips to in-service in FY shown)</t>
        </is>
      </c>
      <c r="B50" s="26" t="n">
        <v>0</v>
      </c>
      <c r="C50" s="26" t="n">
        <v>0</v>
      </c>
      <c r="D50" s="26" t="n">
        <v>0</v>
      </c>
      <c r="E50" s="26" t="n">
        <v>0</v>
      </c>
      <c r="F50" s="26" t="n">
        <v>0</v>
      </c>
      <c r="G50" s="44">
        <f>IF(2024&gt;=$B$241,G48+G49,0)</f>
        <v/>
      </c>
      <c r="H50" s="44">
        <f>IF(2025&gt;=$B$241,H48+H49,0)</f>
        <v/>
      </c>
      <c r="I50" s="44">
        <f>IF(2026&gt;=$B$241,I48+I49,0)</f>
        <v/>
      </c>
      <c r="J50" s="44">
        <f>IF(2027&gt;=$B$241,J48+J49,0)</f>
        <v/>
      </c>
      <c r="K50" s="44">
        <f>IF(2028&gt;=$B$241,K48+K49,0)</f>
        <v/>
      </c>
      <c r="L50" s="44">
        <f>IF(2029&gt;=$B$241,L48+L49,0)</f>
        <v/>
      </c>
      <c r="M50" s="44">
        <f>IF(2030&gt;=$B$241,M48+M49,0)</f>
        <v/>
      </c>
      <c r="N50" s="44">
        <f>IF(2031&gt;=$B$241,N48+N49,0)</f>
        <v/>
      </c>
      <c r="O50" s="44">
        <f>IF(2032&gt;=$B$241,O48+O49,0)</f>
        <v/>
      </c>
      <c r="P50" s="44">
        <f>IF(2033&gt;=$B$241,P48+P49,0)</f>
        <v/>
      </c>
    </row>
    <row r="51">
      <c r="A51" s="17" t="inlineStr">
        <is>
          <t xml:space="preserve">    = Closing CWIP</t>
        </is>
      </c>
      <c r="B51" s="45" t="n">
        <v>0</v>
      </c>
      <c r="C51" s="45" t="n">
        <v>0</v>
      </c>
      <c r="D51" s="45" t="n">
        <v>0</v>
      </c>
      <c r="E51" s="45" t="n">
        <v>0</v>
      </c>
      <c r="F51" s="45" t="n">
        <v>0</v>
      </c>
      <c r="G51" s="42">
        <f>G48+G49-G50</f>
        <v/>
      </c>
      <c r="H51" s="42">
        <f>H48+H49-H50</f>
        <v/>
      </c>
      <c r="I51" s="42">
        <f>I48+I49-I50</f>
        <v/>
      </c>
      <c r="J51" s="42">
        <f>J48+J49-J50</f>
        <v/>
      </c>
      <c r="K51" s="42">
        <f>K48+K49-K50</f>
        <v/>
      </c>
      <c r="L51" s="42">
        <f>L48+L49-L50</f>
        <v/>
      </c>
      <c r="M51" s="42">
        <f>M48+M49-M50</f>
        <v/>
      </c>
      <c r="N51" s="42">
        <f>N48+N49-N50</f>
        <v/>
      </c>
      <c r="O51" s="42">
        <f>O48+O49-O50</f>
        <v/>
      </c>
      <c r="P51" s="42">
        <f>P48+P49-P50</f>
        <v/>
      </c>
    </row>
    <row r="53">
      <c r="A53" s="36" t="inlineStr">
        <is>
          <t>P009 Digital Twin Infrastructure  |  Commission FY2029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</row>
    <row r="54">
      <c r="A54" s="17" t="inlineStr">
        <is>
          <t xml:space="preserve">    Opening CWIP</t>
        </is>
      </c>
      <c r="B54" s="26" t="n">
        <v>0</v>
      </c>
      <c r="C54" s="26">
        <f>B57</f>
        <v/>
      </c>
      <c r="D54" s="26">
        <f>C57</f>
        <v/>
      </c>
      <c r="E54" s="26">
        <f>D57</f>
        <v/>
      </c>
      <c r="F54" s="26">
        <f>E57</f>
        <v/>
      </c>
      <c r="G54" s="44" t="n">
        <v>0</v>
      </c>
      <c r="H54" s="44">
        <f>G57</f>
        <v/>
      </c>
      <c r="I54" s="44">
        <f>H57</f>
        <v/>
      </c>
      <c r="J54" s="44">
        <f>I57</f>
        <v/>
      </c>
      <c r="K54" s="44">
        <f>J57</f>
        <v/>
      </c>
      <c r="L54" s="44">
        <f>K57</f>
        <v/>
      </c>
      <c r="M54" s="44">
        <f>L57</f>
        <v/>
      </c>
      <c r="N54" s="44">
        <f>M57</f>
        <v/>
      </c>
      <c r="O54" s="44">
        <f>N57</f>
        <v/>
      </c>
      <c r="P54" s="44">
        <f>O57</f>
        <v/>
      </c>
    </row>
    <row r="55">
      <c r="A55" s="17" t="inlineStr">
        <is>
          <t xml:space="preserve">    + Capex Incurred (from Project Register v2)</t>
        </is>
      </c>
      <c r="B55" s="26" t="n">
        <v>0</v>
      </c>
      <c r="C55" s="26" t="n">
        <v>0</v>
      </c>
      <c r="D55" s="26" t="n">
        <v>0</v>
      </c>
      <c r="E55" s="26" t="n">
        <v>0</v>
      </c>
      <c r="F55" s="26" t="n">
        <v>0</v>
      </c>
      <c r="G55" s="44">
        <f>'Project Register v2'!G272</f>
        <v/>
      </c>
      <c r="H55" s="44">
        <f>'Project Register v2'!H272</f>
        <v/>
      </c>
      <c r="I55" s="44">
        <f>'Project Register v2'!I272</f>
        <v/>
      </c>
      <c r="J55" s="44">
        <f>'Project Register v2'!J272</f>
        <v/>
      </c>
      <c r="K55" s="44">
        <f>'Project Register v2'!K272</f>
        <v/>
      </c>
      <c r="L55" s="44">
        <f>'Project Register v2'!L272</f>
        <v/>
      </c>
      <c r="M55" s="44">
        <f>'Project Register v2'!M272</f>
        <v/>
      </c>
      <c r="N55" s="44">
        <f>'Project Register v2'!N272</f>
        <v/>
      </c>
      <c r="O55" s="44">
        <f>'Project Register v2'!O272</f>
        <v/>
      </c>
      <c r="P55" s="44">
        <f>'Project Register v2'!P272</f>
        <v/>
      </c>
    </row>
    <row r="56">
      <c r="A56" s="17" t="inlineStr">
        <is>
          <t xml:space="preserve">    − Capex Commissioned (flips to in-service in FY shown)</t>
        </is>
      </c>
      <c r="B56" s="26" t="n">
        <v>0</v>
      </c>
      <c r="C56" s="26" t="n">
        <v>0</v>
      </c>
      <c r="D56" s="26" t="n">
        <v>0</v>
      </c>
      <c r="E56" s="26" t="n">
        <v>0</v>
      </c>
      <c r="F56" s="26" t="n">
        <v>0</v>
      </c>
      <c r="G56" s="44">
        <f>IF(2024&gt;=$B$271,G54+G55,0)</f>
        <v/>
      </c>
      <c r="H56" s="44">
        <f>IF(2025&gt;=$B$271,H54+H55,0)</f>
        <v/>
      </c>
      <c r="I56" s="44">
        <f>IF(2026&gt;=$B$271,I54+I55,0)</f>
        <v/>
      </c>
      <c r="J56" s="44">
        <f>IF(2027&gt;=$B$271,J54+J55,0)</f>
        <v/>
      </c>
      <c r="K56" s="44">
        <f>IF(2028&gt;=$B$271,K54+K55,0)</f>
        <v/>
      </c>
      <c r="L56" s="44">
        <f>IF(2029&gt;=$B$271,L54+L55,0)</f>
        <v/>
      </c>
      <c r="M56" s="44">
        <f>IF(2030&gt;=$B$271,M54+M55,0)</f>
        <v/>
      </c>
      <c r="N56" s="44">
        <f>IF(2031&gt;=$B$271,N54+N55,0)</f>
        <v/>
      </c>
      <c r="O56" s="44">
        <f>IF(2032&gt;=$B$271,O54+O55,0)</f>
        <v/>
      </c>
      <c r="P56" s="44">
        <f>IF(2033&gt;=$B$271,P54+P55,0)</f>
        <v/>
      </c>
    </row>
    <row r="57">
      <c r="A57" s="17" t="inlineStr">
        <is>
          <t xml:space="preserve">    = Closing CWIP</t>
        </is>
      </c>
      <c r="B57" s="45" t="n">
        <v>0</v>
      </c>
      <c r="C57" s="45" t="n">
        <v>0</v>
      </c>
      <c r="D57" s="45" t="n">
        <v>0</v>
      </c>
      <c r="E57" s="45" t="n">
        <v>0</v>
      </c>
      <c r="F57" s="45" t="n">
        <v>0</v>
      </c>
      <c r="G57" s="42">
        <f>G54+G55-G56</f>
        <v/>
      </c>
      <c r="H57" s="42">
        <f>H54+H55-H56</f>
        <v/>
      </c>
      <c r="I57" s="42">
        <f>I54+I55-I56</f>
        <v/>
      </c>
      <c r="J57" s="42">
        <f>J54+J55-J56</f>
        <v/>
      </c>
      <c r="K57" s="42">
        <f>K54+K55-K56</f>
        <v/>
      </c>
      <c r="L57" s="42">
        <f>L54+L55-L56</f>
        <v/>
      </c>
      <c r="M57" s="42">
        <f>M54+M55-M56</f>
        <v/>
      </c>
      <c r="N57" s="42">
        <f>N54+N55-N56</f>
        <v/>
      </c>
      <c r="O57" s="42">
        <f>O54+O55-O56</f>
        <v/>
      </c>
      <c r="P57" s="42">
        <f>P54+P55-P56</f>
        <v/>
      </c>
    </row>
    <row r="59">
      <c r="A59" s="36" t="inlineStr">
        <is>
          <t>P010 Reactive Power Support  |  Commission FY2030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</row>
    <row r="60">
      <c r="A60" s="17" t="inlineStr">
        <is>
          <t xml:space="preserve">    Opening CWIP</t>
        </is>
      </c>
      <c r="B60" s="26" t="n">
        <v>0</v>
      </c>
      <c r="C60" s="26">
        <f>B63</f>
        <v/>
      </c>
      <c r="D60" s="26">
        <f>C63</f>
        <v/>
      </c>
      <c r="E60" s="26">
        <f>D63</f>
        <v/>
      </c>
      <c r="F60" s="26">
        <f>E63</f>
        <v/>
      </c>
      <c r="G60" s="44" t="n">
        <v>0</v>
      </c>
      <c r="H60" s="44">
        <f>G63</f>
        <v/>
      </c>
      <c r="I60" s="44">
        <f>H63</f>
        <v/>
      </c>
      <c r="J60" s="44">
        <f>I63</f>
        <v/>
      </c>
      <c r="K60" s="44">
        <f>J63</f>
        <v/>
      </c>
      <c r="L60" s="44">
        <f>K63</f>
        <v/>
      </c>
      <c r="M60" s="44">
        <f>L63</f>
        <v/>
      </c>
      <c r="N60" s="44">
        <f>M63</f>
        <v/>
      </c>
      <c r="O60" s="44">
        <f>N63</f>
        <v/>
      </c>
      <c r="P60" s="44">
        <f>O63</f>
        <v/>
      </c>
    </row>
    <row r="61">
      <c r="A61" s="17" t="inlineStr">
        <is>
          <t xml:space="preserve">    + Capex Incurred (from Project Register v2)</t>
        </is>
      </c>
      <c r="B61" s="26" t="n">
        <v>0</v>
      </c>
      <c r="C61" s="26" t="n">
        <v>0</v>
      </c>
      <c r="D61" s="26" t="n">
        <v>0</v>
      </c>
      <c r="E61" s="26" t="n">
        <v>0</v>
      </c>
      <c r="F61" s="26" t="n">
        <v>0</v>
      </c>
      <c r="G61" s="44">
        <f>'Project Register v2'!G302</f>
        <v/>
      </c>
      <c r="H61" s="44">
        <f>'Project Register v2'!H302</f>
        <v/>
      </c>
      <c r="I61" s="44">
        <f>'Project Register v2'!I302</f>
        <v/>
      </c>
      <c r="J61" s="44">
        <f>'Project Register v2'!J302</f>
        <v/>
      </c>
      <c r="K61" s="44">
        <f>'Project Register v2'!K302</f>
        <v/>
      </c>
      <c r="L61" s="44">
        <f>'Project Register v2'!L302</f>
        <v/>
      </c>
      <c r="M61" s="44">
        <f>'Project Register v2'!M302</f>
        <v/>
      </c>
      <c r="N61" s="44">
        <f>'Project Register v2'!N302</f>
        <v/>
      </c>
      <c r="O61" s="44">
        <f>'Project Register v2'!O302</f>
        <v/>
      </c>
      <c r="P61" s="44">
        <f>'Project Register v2'!P302</f>
        <v/>
      </c>
    </row>
    <row r="62">
      <c r="A62" s="17" t="inlineStr">
        <is>
          <t xml:space="preserve">    − Capex Commissioned (flips to in-service in FY shown)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44">
        <f>IF(2024&gt;=$B$301,G60+G61,0)</f>
        <v/>
      </c>
      <c r="H62" s="44">
        <f>IF(2025&gt;=$B$301,H60+H61,0)</f>
        <v/>
      </c>
      <c r="I62" s="44">
        <f>IF(2026&gt;=$B$301,I60+I61,0)</f>
        <v/>
      </c>
      <c r="J62" s="44">
        <f>IF(2027&gt;=$B$301,J60+J61,0)</f>
        <v/>
      </c>
      <c r="K62" s="44">
        <f>IF(2028&gt;=$B$301,K60+K61,0)</f>
        <v/>
      </c>
      <c r="L62" s="44">
        <f>IF(2029&gt;=$B$301,L60+L61,0)</f>
        <v/>
      </c>
      <c r="M62" s="44">
        <f>IF(2030&gt;=$B$301,M60+M61,0)</f>
        <v/>
      </c>
      <c r="N62" s="44">
        <f>IF(2031&gt;=$B$301,N60+N61,0)</f>
        <v/>
      </c>
      <c r="O62" s="44">
        <f>IF(2032&gt;=$B$301,O60+O61,0)</f>
        <v/>
      </c>
      <c r="P62" s="44">
        <f>IF(2033&gt;=$B$301,P60+P61,0)</f>
        <v/>
      </c>
    </row>
    <row r="63">
      <c r="A63" s="17" t="inlineStr">
        <is>
          <t xml:space="preserve">    = Closing CWIP</t>
        </is>
      </c>
      <c r="B63" s="45" t="n">
        <v>0</v>
      </c>
      <c r="C63" s="45" t="n">
        <v>0</v>
      </c>
      <c r="D63" s="45" t="n">
        <v>0</v>
      </c>
      <c r="E63" s="45" t="n">
        <v>0</v>
      </c>
      <c r="F63" s="45" t="n">
        <v>0</v>
      </c>
      <c r="G63" s="42">
        <f>G60+G61-G62</f>
        <v/>
      </c>
      <c r="H63" s="42">
        <f>H60+H61-H62</f>
        <v/>
      </c>
      <c r="I63" s="42">
        <f>I60+I61-I62</f>
        <v/>
      </c>
      <c r="J63" s="42">
        <f>J60+J61-J62</f>
        <v/>
      </c>
      <c r="K63" s="42">
        <f>K60+K61-K62</f>
        <v/>
      </c>
      <c r="L63" s="42">
        <f>L60+L61-L62</f>
        <v/>
      </c>
      <c r="M63" s="42">
        <f>M60+M61-M62</f>
        <v/>
      </c>
      <c r="N63" s="42">
        <f>N60+N61-N62</f>
        <v/>
      </c>
      <c r="O63" s="42">
        <f>O60+O61-O62</f>
        <v/>
      </c>
      <c r="P63" s="42">
        <f>P60+P61-P62</f>
        <v/>
      </c>
    </row>
    <row r="70">
      <c r="A70" s="15" t="inlineStr">
        <is>
          <t>PORTFOLIO TOTALS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</row>
    <row r="71">
      <c r="A71" s="17" t="inlineStr">
        <is>
          <t xml:space="preserve">  Total Opening CWIP</t>
        </is>
      </c>
      <c r="B71" s="26">
        <f>B6+B12+B18+B24+B30+B36+B42+B48+B54+B60</f>
        <v/>
      </c>
      <c r="C71" s="26">
        <f>C6+C12+C18+C24+C30+C36+C42+C48+C54+C60</f>
        <v/>
      </c>
      <c r="D71" s="26">
        <f>D6+D12+D18+D24+D30+D36+D42+D48+D54+D60</f>
        <v/>
      </c>
      <c r="E71" s="26">
        <f>E6+E12+E18+E24+E30+E36+E42+E48+E54+E60</f>
        <v/>
      </c>
      <c r="F71" s="26">
        <f>F6+F12+F18+F24+F30+F36+F42+F48+F54+F60</f>
        <v/>
      </c>
      <c r="G71" s="44">
        <f>G6+G12+G18+G24+G30+G36+G42+G48+G54+G60</f>
        <v/>
      </c>
      <c r="H71" s="44">
        <f>H6+H12+H18+H24+H30+H36+H42+H48+H54+H60</f>
        <v/>
      </c>
      <c r="I71" s="44">
        <f>I6+I12+I18+I24+I30+I36+I42+I48+I54+I60</f>
        <v/>
      </c>
      <c r="J71" s="44">
        <f>J6+J12+J18+J24+J30+J36+J42+J48+J54+J60</f>
        <v/>
      </c>
      <c r="K71" s="44">
        <f>K6+K12+K18+K24+K30+K36+K42+K48+K54+K60</f>
        <v/>
      </c>
      <c r="L71" s="44">
        <f>L6+L12+L18+L24+L30+L36+L42+L48+L54+L60</f>
        <v/>
      </c>
      <c r="M71" s="44">
        <f>M6+M12+M18+M24+M30+M36+M42+M48+M54+M60</f>
        <v/>
      </c>
      <c r="N71" s="44">
        <f>N6+N12+N18+N24+N30+N36+N42+N48+N54+N60</f>
        <v/>
      </c>
      <c r="O71" s="44">
        <f>O6+O12+O18+O24+O30+O36+O42+O48+O54+O60</f>
        <v/>
      </c>
      <c r="P71" s="44">
        <f>P6+P12+P18+P24+P30+P36+P42+P48+P54+P60</f>
        <v/>
      </c>
    </row>
    <row r="72">
      <c r="A72" s="17" t="inlineStr">
        <is>
          <t xml:space="preserve">  Total Capex Incurred</t>
        </is>
      </c>
      <c r="B72" s="26">
        <f>B7+B13+B19+B25+B31+B37+B43+B49+B55+B61</f>
        <v/>
      </c>
      <c r="C72" s="26">
        <f>C7+C13+C19+C25+C31+C37+C43+C49+C55+C61</f>
        <v/>
      </c>
      <c r="D72" s="26">
        <f>D7+D13+D19+D25+D31+D37+D43+D49+D55+D61</f>
        <v/>
      </c>
      <c r="E72" s="26">
        <f>E7+E13+E19+E25+E31+E37+E43+E49+E55+E61</f>
        <v/>
      </c>
      <c r="F72" s="26">
        <f>F7+F13+F19+F25+F31+F37+F43+F49+F55+F61</f>
        <v/>
      </c>
      <c r="G72" s="44">
        <f>G7+G13+G19+G25+G31+G37+G43+G49+G55+G61</f>
        <v/>
      </c>
      <c r="H72" s="44">
        <f>H7+H13+H19+H25+H31+H37+H43+H49+H55+H61</f>
        <v/>
      </c>
      <c r="I72" s="44">
        <f>I7+I13+I19+I25+I31+I37+I43+I49+I55+I61</f>
        <v/>
      </c>
      <c r="J72" s="44">
        <f>J7+J13+J19+J25+J31+J37+J43+J49+J55+J61</f>
        <v/>
      </c>
      <c r="K72" s="44">
        <f>K7+K13+K19+K25+K31+K37+K43+K49+K55+K61</f>
        <v/>
      </c>
      <c r="L72" s="44">
        <f>L7+L13+L19+L25+L31+L37+L43+L49+L55+L61</f>
        <v/>
      </c>
      <c r="M72" s="44">
        <f>M7+M13+M19+M25+M31+M37+M43+M49+M55+M61</f>
        <v/>
      </c>
      <c r="N72" s="44">
        <f>N7+N13+N19+N25+N31+N37+N43+N49+N55+N61</f>
        <v/>
      </c>
      <c r="O72" s="44">
        <f>O7+O13+O19+O25+O31+O37+O43+O49+O55+O61</f>
        <v/>
      </c>
      <c r="P72" s="44">
        <f>P7+P13+P19+P25+P31+P37+P43+P49+P55+P61</f>
        <v/>
      </c>
    </row>
    <row r="73">
      <c r="A73" s="17" t="inlineStr">
        <is>
          <t xml:space="preserve">  Total Capex Commissioned</t>
        </is>
      </c>
      <c r="B73" s="26">
        <f>B8+B14+B20+B26+B32+B38+B44+B50+B56+B62</f>
        <v/>
      </c>
      <c r="C73" s="26">
        <f>C8+C14+C20+C26+C32+C38+C44+C50+C56+C62</f>
        <v/>
      </c>
      <c r="D73" s="26">
        <f>D8+D14+D20+D26+D32+D38+D44+D50+D56+D62</f>
        <v/>
      </c>
      <c r="E73" s="26">
        <f>E8+E14+E20+E26+E32+E38+E44+E50+E56+E62</f>
        <v/>
      </c>
      <c r="F73" s="26">
        <f>F8+F14+F20+F26+F32+F38+F44+F50+F56+F62</f>
        <v/>
      </c>
      <c r="G73" s="44">
        <f>G8+G14+G20+G26+G32+G38+G44+G50+G56+G62</f>
        <v/>
      </c>
      <c r="H73" s="44">
        <f>H8+H14+H20+H26+H32+H38+H44+H50+H56+H62</f>
        <v/>
      </c>
      <c r="I73" s="44">
        <f>I8+I14+I20+I26+I32+I38+I44+I50+I56+I62</f>
        <v/>
      </c>
      <c r="J73" s="44">
        <f>J8+J14+J20+J26+J32+J38+J44+J50+J56+J62</f>
        <v/>
      </c>
      <c r="K73" s="44">
        <f>K8+K14+K20+K26+K32+K38+K44+K50+K56+K62</f>
        <v/>
      </c>
      <c r="L73" s="44">
        <f>L8+L14+L20+L26+L32+L38+L44+L50+L56+L62</f>
        <v/>
      </c>
      <c r="M73" s="44">
        <f>M8+M14+M20+M26+M32+M38+M44+M50+M56+M62</f>
        <v/>
      </c>
      <c r="N73" s="44">
        <f>N8+N14+N20+N26+N32+N38+N44+N50+N56+N62</f>
        <v/>
      </c>
      <c r="O73" s="44">
        <f>O8+O14+O20+O26+O32+O38+O44+O50+O56+O62</f>
        <v/>
      </c>
      <c r="P73" s="44">
        <f>P8+P14+P20+P26+P32+P38+P44+P50+P56+P62</f>
        <v/>
      </c>
    </row>
    <row r="74">
      <c r="A74" s="17" t="inlineStr">
        <is>
          <t xml:space="preserve">  Total Closing CWIP</t>
        </is>
      </c>
      <c r="B74" s="42">
        <f>B9+B15+B21+B27+B33+B39+B45+B51+B57+B63</f>
        <v/>
      </c>
      <c r="C74" s="42">
        <f>C9+C15+C21+C27+C33+C39+C45+C51+C57+C63</f>
        <v/>
      </c>
      <c r="D74" s="42">
        <f>D9+D15+D21+D27+D33+D39+D45+D51+D57+D63</f>
        <v/>
      </c>
      <c r="E74" s="42">
        <f>E9+E15+E21+E27+E33+E39+E45+E51+E57+E63</f>
        <v/>
      </c>
      <c r="F74" s="42">
        <f>F9+F15+F21+F27+F33+F39+F45+F51+F57+F63</f>
        <v/>
      </c>
      <c r="G74" s="42">
        <f>G9+G15+G21+G27+G33+G39+G45+G51+G57+G63</f>
        <v/>
      </c>
      <c r="H74" s="42">
        <f>H9+H15+H21+H27+H33+H39+H45+H51+H57+H63</f>
        <v/>
      </c>
      <c r="I74" s="42">
        <f>I9+I15+I21+I27+I33+I39+I45+I51+I57+I63</f>
        <v/>
      </c>
      <c r="J74" s="42">
        <f>J9+J15+J21+J27+J33+J39+J45+J51+J57+J63</f>
        <v/>
      </c>
      <c r="K74" s="42">
        <f>K9+K15+K21+K27+K33+K39+K45+K51+K57+K63</f>
        <v/>
      </c>
      <c r="L74" s="42">
        <f>L9+L15+L21+L27+L33+L39+L45+L51+L57+L63</f>
        <v/>
      </c>
      <c r="M74" s="42">
        <f>M9+M15+M21+M27+M33+M39+M45+M51+M57+M63</f>
        <v/>
      </c>
      <c r="N74" s="42">
        <f>N9+N15+N21+N27+N33+N39+N45+N51+N57+N63</f>
        <v/>
      </c>
      <c r="O74" s="42">
        <f>O9+O15+O21+O27+O33+O39+O45+O51+O57+O63</f>
        <v/>
      </c>
      <c r="P74" s="42">
        <f>P9+P15+P21+P27+P33+P39+P45+P51+P57+P63</f>
        <v/>
      </c>
    </row>
  </sheetData>
  <mergeCells count="1">
    <mergeCell ref="A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P2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REG OUTPUT — CAPEX (As Commissioned, by Asset Class)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7" t="inlineStr">
        <is>
          <t>Commissioned capex split across 22 ACs via project allocation matrix</t>
        </is>
      </c>
    </row>
    <row r="5">
      <c r="A5" s="17" t="inlineStr">
        <is>
          <t xml:space="preserve">  AC1  Transmission Lines &gt;132kV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44">
        <f>'Commissioning'!G8*'Project Register v2'!$B$6+'Commissioning'!G14*'Project Register v2'!$B$36+'Commissioning'!G20*'Project Register v2'!$B$66+'Commissioning'!G26*'Project Register v2'!$B$96+'Commissioning'!G32*'Project Register v2'!$B$126+'Commissioning'!G38*'Project Register v2'!$B$156+'Commissioning'!G44*'Project Register v2'!$B$186+'Commissioning'!G50*'Project Register v2'!$B$216+'Commissioning'!G56*'Project Register v2'!$B$246+'Commissioning'!G62*'Project Register v2'!$B$276</f>
        <v/>
      </c>
      <c r="H5" s="44">
        <f>'Commissioning'!H8*'Project Register v2'!$B$6+'Commissioning'!H14*'Project Register v2'!$B$36+'Commissioning'!H20*'Project Register v2'!$B$66+'Commissioning'!H26*'Project Register v2'!$B$96+'Commissioning'!H32*'Project Register v2'!$B$126+'Commissioning'!H38*'Project Register v2'!$B$156+'Commissioning'!H44*'Project Register v2'!$B$186+'Commissioning'!H50*'Project Register v2'!$B$216+'Commissioning'!H56*'Project Register v2'!$B$246+'Commissioning'!H62*'Project Register v2'!$B$276</f>
        <v/>
      </c>
      <c r="I5" s="44">
        <f>'Commissioning'!I8*'Project Register v2'!$B$6+'Commissioning'!I14*'Project Register v2'!$B$36+'Commissioning'!I20*'Project Register v2'!$B$66+'Commissioning'!I26*'Project Register v2'!$B$96+'Commissioning'!I32*'Project Register v2'!$B$126+'Commissioning'!I38*'Project Register v2'!$B$156+'Commissioning'!I44*'Project Register v2'!$B$186+'Commissioning'!I50*'Project Register v2'!$B$216+'Commissioning'!I56*'Project Register v2'!$B$246+'Commissioning'!I62*'Project Register v2'!$B$276</f>
        <v/>
      </c>
      <c r="J5" s="44">
        <f>'Commissioning'!J8*'Project Register v2'!$B$6+'Commissioning'!J14*'Project Register v2'!$B$36+'Commissioning'!J20*'Project Register v2'!$B$66+'Commissioning'!J26*'Project Register v2'!$B$96+'Commissioning'!J32*'Project Register v2'!$B$126+'Commissioning'!J38*'Project Register v2'!$B$156+'Commissioning'!J44*'Project Register v2'!$B$186+'Commissioning'!J50*'Project Register v2'!$B$216+'Commissioning'!J56*'Project Register v2'!$B$246+'Commissioning'!J62*'Project Register v2'!$B$276</f>
        <v/>
      </c>
      <c r="K5" s="44">
        <f>'Commissioning'!K8*'Project Register v2'!$B$6+'Commissioning'!K14*'Project Register v2'!$B$36+'Commissioning'!K20*'Project Register v2'!$B$66+'Commissioning'!K26*'Project Register v2'!$B$96+'Commissioning'!K32*'Project Register v2'!$B$126+'Commissioning'!K38*'Project Register v2'!$B$156+'Commissioning'!K44*'Project Register v2'!$B$186+'Commissioning'!K50*'Project Register v2'!$B$216+'Commissioning'!K56*'Project Register v2'!$B$246+'Commissioning'!K62*'Project Register v2'!$B$276</f>
        <v/>
      </c>
      <c r="L5" s="44">
        <f>'Commissioning'!L8*'Project Register v2'!$B$6+'Commissioning'!L14*'Project Register v2'!$B$36+'Commissioning'!L20*'Project Register v2'!$B$66+'Commissioning'!L26*'Project Register v2'!$B$96+'Commissioning'!L32*'Project Register v2'!$B$126+'Commissioning'!L38*'Project Register v2'!$B$156+'Commissioning'!L44*'Project Register v2'!$B$186+'Commissioning'!L50*'Project Register v2'!$B$216+'Commissioning'!L56*'Project Register v2'!$B$246+'Commissioning'!L62*'Project Register v2'!$B$276</f>
        <v/>
      </c>
      <c r="M5" s="44">
        <f>'Commissioning'!M8*'Project Register v2'!$B$6+'Commissioning'!M14*'Project Register v2'!$B$36+'Commissioning'!M20*'Project Register v2'!$B$66+'Commissioning'!M26*'Project Register v2'!$B$96+'Commissioning'!M32*'Project Register v2'!$B$126+'Commissioning'!M38*'Project Register v2'!$B$156+'Commissioning'!M44*'Project Register v2'!$B$186+'Commissioning'!M50*'Project Register v2'!$B$216+'Commissioning'!M56*'Project Register v2'!$B$246+'Commissioning'!M62*'Project Register v2'!$B$276</f>
        <v/>
      </c>
      <c r="N5" s="44">
        <f>'Commissioning'!N8*'Project Register v2'!$B$6+'Commissioning'!N14*'Project Register v2'!$B$36+'Commissioning'!N20*'Project Register v2'!$B$66+'Commissioning'!N26*'Project Register v2'!$B$96+'Commissioning'!N32*'Project Register v2'!$B$126+'Commissioning'!N38*'Project Register v2'!$B$156+'Commissioning'!N44*'Project Register v2'!$B$186+'Commissioning'!N50*'Project Register v2'!$B$216+'Commissioning'!N56*'Project Register v2'!$B$246+'Commissioning'!N62*'Project Register v2'!$B$276</f>
        <v/>
      </c>
      <c r="O5" s="44">
        <f>'Commissioning'!O8*'Project Register v2'!$B$6+'Commissioning'!O14*'Project Register v2'!$B$36+'Commissioning'!O20*'Project Register v2'!$B$66+'Commissioning'!O26*'Project Register v2'!$B$96+'Commissioning'!O32*'Project Register v2'!$B$126+'Commissioning'!O38*'Project Register v2'!$B$156+'Commissioning'!O44*'Project Register v2'!$B$186+'Commissioning'!O50*'Project Register v2'!$B$216+'Commissioning'!O56*'Project Register v2'!$B$246+'Commissioning'!O62*'Project Register v2'!$B$276</f>
        <v/>
      </c>
      <c r="P5" s="44">
        <f>'Commissioning'!P8*'Project Register v2'!$B$6+'Commissioning'!P14*'Project Register v2'!$B$36+'Commissioning'!P20*'Project Register v2'!$B$66+'Commissioning'!P26*'Project Register v2'!$B$96+'Commissioning'!P32*'Project Register v2'!$B$126+'Commissioning'!P38*'Project Register v2'!$B$156+'Commissioning'!P44*'Project Register v2'!$B$186+'Commissioning'!P50*'Project Register v2'!$B$216+'Commissioning'!P56*'Project Register v2'!$B$246+'Commissioning'!P62*'Project Register v2'!$B$276</f>
        <v/>
      </c>
    </row>
    <row r="6">
      <c r="A6" s="17" t="inlineStr">
        <is>
          <t xml:space="preserve">  AC2  Transmission Lines &lt;=132kV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44">
        <f>'Commissioning'!G8*'Project Register v2'!$B$7+'Commissioning'!G14*'Project Register v2'!$B$37+'Commissioning'!G20*'Project Register v2'!$B$67+'Commissioning'!G26*'Project Register v2'!$B$97+'Commissioning'!G32*'Project Register v2'!$B$127+'Commissioning'!G38*'Project Register v2'!$B$157+'Commissioning'!G44*'Project Register v2'!$B$187+'Commissioning'!G50*'Project Register v2'!$B$217+'Commissioning'!G56*'Project Register v2'!$B$247+'Commissioning'!G62*'Project Register v2'!$B$277</f>
        <v/>
      </c>
      <c r="H6" s="44">
        <f>'Commissioning'!H8*'Project Register v2'!$B$7+'Commissioning'!H14*'Project Register v2'!$B$37+'Commissioning'!H20*'Project Register v2'!$B$67+'Commissioning'!H26*'Project Register v2'!$B$97+'Commissioning'!H32*'Project Register v2'!$B$127+'Commissioning'!H38*'Project Register v2'!$B$157+'Commissioning'!H44*'Project Register v2'!$B$187+'Commissioning'!H50*'Project Register v2'!$B$217+'Commissioning'!H56*'Project Register v2'!$B$247+'Commissioning'!H62*'Project Register v2'!$B$277</f>
        <v/>
      </c>
      <c r="I6" s="44">
        <f>'Commissioning'!I8*'Project Register v2'!$B$7+'Commissioning'!I14*'Project Register v2'!$B$37+'Commissioning'!I20*'Project Register v2'!$B$67+'Commissioning'!I26*'Project Register v2'!$B$97+'Commissioning'!I32*'Project Register v2'!$B$127+'Commissioning'!I38*'Project Register v2'!$B$157+'Commissioning'!I44*'Project Register v2'!$B$187+'Commissioning'!I50*'Project Register v2'!$B$217+'Commissioning'!I56*'Project Register v2'!$B$247+'Commissioning'!I62*'Project Register v2'!$B$277</f>
        <v/>
      </c>
      <c r="J6" s="44">
        <f>'Commissioning'!J8*'Project Register v2'!$B$7+'Commissioning'!J14*'Project Register v2'!$B$37+'Commissioning'!J20*'Project Register v2'!$B$67+'Commissioning'!J26*'Project Register v2'!$B$97+'Commissioning'!J32*'Project Register v2'!$B$127+'Commissioning'!J38*'Project Register v2'!$B$157+'Commissioning'!J44*'Project Register v2'!$B$187+'Commissioning'!J50*'Project Register v2'!$B$217+'Commissioning'!J56*'Project Register v2'!$B$247+'Commissioning'!J62*'Project Register v2'!$B$277</f>
        <v/>
      </c>
      <c r="K6" s="44">
        <f>'Commissioning'!K8*'Project Register v2'!$B$7+'Commissioning'!K14*'Project Register v2'!$B$37+'Commissioning'!K20*'Project Register v2'!$B$67+'Commissioning'!K26*'Project Register v2'!$B$97+'Commissioning'!K32*'Project Register v2'!$B$127+'Commissioning'!K38*'Project Register v2'!$B$157+'Commissioning'!K44*'Project Register v2'!$B$187+'Commissioning'!K50*'Project Register v2'!$B$217+'Commissioning'!K56*'Project Register v2'!$B$247+'Commissioning'!K62*'Project Register v2'!$B$277</f>
        <v/>
      </c>
      <c r="L6" s="44">
        <f>'Commissioning'!L8*'Project Register v2'!$B$7+'Commissioning'!L14*'Project Register v2'!$B$37+'Commissioning'!L20*'Project Register v2'!$B$67+'Commissioning'!L26*'Project Register v2'!$B$97+'Commissioning'!L32*'Project Register v2'!$B$127+'Commissioning'!L38*'Project Register v2'!$B$157+'Commissioning'!L44*'Project Register v2'!$B$187+'Commissioning'!L50*'Project Register v2'!$B$217+'Commissioning'!L56*'Project Register v2'!$B$247+'Commissioning'!L62*'Project Register v2'!$B$277</f>
        <v/>
      </c>
      <c r="M6" s="44">
        <f>'Commissioning'!M8*'Project Register v2'!$B$7+'Commissioning'!M14*'Project Register v2'!$B$37+'Commissioning'!M20*'Project Register v2'!$B$67+'Commissioning'!M26*'Project Register v2'!$B$97+'Commissioning'!M32*'Project Register v2'!$B$127+'Commissioning'!M38*'Project Register v2'!$B$157+'Commissioning'!M44*'Project Register v2'!$B$187+'Commissioning'!M50*'Project Register v2'!$B$217+'Commissioning'!M56*'Project Register v2'!$B$247+'Commissioning'!M62*'Project Register v2'!$B$277</f>
        <v/>
      </c>
      <c r="N6" s="44">
        <f>'Commissioning'!N8*'Project Register v2'!$B$7+'Commissioning'!N14*'Project Register v2'!$B$37+'Commissioning'!N20*'Project Register v2'!$B$67+'Commissioning'!N26*'Project Register v2'!$B$97+'Commissioning'!N32*'Project Register v2'!$B$127+'Commissioning'!N38*'Project Register v2'!$B$157+'Commissioning'!N44*'Project Register v2'!$B$187+'Commissioning'!N50*'Project Register v2'!$B$217+'Commissioning'!N56*'Project Register v2'!$B$247+'Commissioning'!N62*'Project Register v2'!$B$277</f>
        <v/>
      </c>
      <c r="O6" s="44">
        <f>'Commissioning'!O8*'Project Register v2'!$B$7+'Commissioning'!O14*'Project Register v2'!$B$37+'Commissioning'!O20*'Project Register v2'!$B$67+'Commissioning'!O26*'Project Register v2'!$B$97+'Commissioning'!O32*'Project Register v2'!$B$127+'Commissioning'!O38*'Project Register v2'!$B$157+'Commissioning'!O44*'Project Register v2'!$B$187+'Commissioning'!O50*'Project Register v2'!$B$217+'Commissioning'!O56*'Project Register v2'!$B$247+'Commissioning'!O62*'Project Register v2'!$B$277</f>
        <v/>
      </c>
      <c r="P6" s="44">
        <f>'Commissioning'!P8*'Project Register v2'!$B$7+'Commissioning'!P14*'Project Register v2'!$B$37+'Commissioning'!P20*'Project Register v2'!$B$67+'Commissioning'!P26*'Project Register v2'!$B$97+'Commissioning'!P32*'Project Register v2'!$B$127+'Commissioning'!P38*'Project Register v2'!$B$157+'Commissioning'!P44*'Project Register v2'!$B$187+'Commissioning'!P50*'Project Register v2'!$B$217+'Commissioning'!P56*'Project Register v2'!$B$247+'Commissioning'!P62*'Project Register v2'!$B$277</f>
        <v/>
      </c>
    </row>
    <row r="7">
      <c r="A7" s="17" t="inlineStr">
        <is>
          <t xml:space="preserve">  AC3  Underground Cables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44">
        <f>'Commissioning'!G8*'Project Register v2'!$B$8+'Commissioning'!G14*'Project Register v2'!$B$38+'Commissioning'!G20*'Project Register v2'!$B$68+'Commissioning'!G26*'Project Register v2'!$B$98+'Commissioning'!G32*'Project Register v2'!$B$128+'Commissioning'!G38*'Project Register v2'!$B$158+'Commissioning'!G44*'Project Register v2'!$B$188+'Commissioning'!G50*'Project Register v2'!$B$218+'Commissioning'!G56*'Project Register v2'!$B$248+'Commissioning'!G62*'Project Register v2'!$B$278</f>
        <v/>
      </c>
      <c r="H7" s="44">
        <f>'Commissioning'!H8*'Project Register v2'!$B$8+'Commissioning'!H14*'Project Register v2'!$B$38+'Commissioning'!H20*'Project Register v2'!$B$68+'Commissioning'!H26*'Project Register v2'!$B$98+'Commissioning'!H32*'Project Register v2'!$B$128+'Commissioning'!H38*'Project Register v2'!$B$158+'Commissioning'!H44*'Project Register v2'!$B$188+'Commissioning'!H50*'Project Register v2'!$B$218+'Commissioning'!H56*'Project Register v2'!$B$248+'Commissioning'!H62*'Project Register v2'!$B$278</f>
        <v/>
      </c>
      <c r="I7" s="44">
        <f>'Commissioning'!I8*'Project Register v2'!$B$8+'Commissioning'!I14*'Project Register v2'!$B$38+'Commissioning'!I20*'Project Register v2'!$B$68+'Commissioning'!I26*'Project Register v2'!$B$98+'Commissioning'!I32*'Project Register v2'!$B$128+'Commissioning'!I38*'Project Register v2'!$B$158+'Commissioning'!I44*'Project Register v2'!$B$188+'Commissioning'!I50*'Project Register v2'!$B$218+'Commissioning'!I56*'Project Register v2'!$B$248+'Commissioning'!I62*'Project Register v2'!$B$278</f>
        <v/>
      </c>
      <c r="J7" s="44">
        <f>'Commissioning'!J8*'Project Register v2'!$B$8+'Commissioning'!J14*'Project Register v2'!$B$38+'Commissioning'!J20*'Project Register v2'!$B$68+'Commissioning'!J26*'Project Register v2'!$B$98+'Commissioning'!J32*'Project Register v2'!$B$128+'Commissioning'!J38*'Project Register v2'!$B$158+'Commissioning'!J44*'Project Register v2'!$B$188+'Commissioning'!J50*'Project Register v2'!$B$218+'Commissioning'!J56*'Project Register v2'!$B$248+'Commissioning'!J62*'Project Register v2'!$B$278</f>
        <v/>
      </c>
      <c r="K7" s="44">
        <f>'Commissioning'!K8*'Project Register v2'!$B$8+'Commissioning'!K14*'Project Register v2'!$B$38+'Commissioning'!K20*'Project Register v2'!$B$68+'Commissioning'!K26*'Project Register v2'!$B$98+'Commissioning'!K32*'Project Register v2'!$B$128+'Commissioning'!K38*'Project Register v2'!$B$158+'Commissioning'!K44*'Project Register v2'!$B$188+'Commissioning'!K50*'Project Register v2'!$B$218+'Commissioning'!K56*'Project Register v2'!$B$248+'Commissioning'!K62*'Project Register v2'!$B$278</f>
        <v/>
      </c>
      <c r="L7" s="44">
        <f>'Commissioning'!L8*'Project Register v2'!$B$8+'Commissioning'!L14*'Project Register v2'!$B$38+'Commissioning'!L20*'Project Register v2'!$B$68+'Commissioning'!L26*'Project Register v2'!$B$98+'Commissioning'!L32*'Project Register v2'!$B$128+'Commissioning'!L38*'Project Register v2'!$B$158+'Commissioning'!L44*'Project Register v2'!$B$188+'Commissioning'!L50*'Project Register v2'!$B$218+'Commissioning'!L56*'Project Register v2'!$B$248+'Commissioning'!L62*'Project Register v2'!$B$278</f>
        <v/>
      </c>
      <c r="M7" s="44">
        <f>'Commissioning'!M8*'Project Register v2'!$B$8+'Commissioning'!M14*'Project Register v2'!$B$38+'Commissioning'!M20*'Project Register v2'!$B$68+'Commissioning'!M26*'Project Register v2'!$B$98+'Commissioning'!M32*'Project Register v2'!$B$128+'Commissioning'!M38*'Project Register v2'!$B$158+'Commissioning'!M44*'Project Register v2'!$B$188+'Commissioning'!M50*'Project Register v2'!$B$218+'Commissioning'!M56*'Project Register v2'!$B$248+'Commissioning'!M62*'Project Register v2'!$B$278</f>
        <v/>
      </c>
      <c r="N7" s="44">
        <f>'Commissioning'!N8*'Project Register v2'!$B$8+'Commissioning'!N14*'Project Register v2'!$B$38+'Commissioning'!N20*'Project Register v2'!$B$68+'Commissioning'!N26*'Project Register v2'!$B$98+'Commissioning'!N32*'Project Register v2'!$B$128+'Commissioning'!N38*'Project Register v2'!$B$158+'Commissioning'!N44*'Project Register v2'!$B$188+'Commissioning'!N50*'Project Register v2'!$B$218+'Commissioning'!N56*'Project Register v2'!$B$248+'Commissioning'!N62*'Project Register v2'!$B$278</f>
        <v/>
      </c>
      <c r="O7" s="44">
        <f>'Commissioning'!O8*'Project Register v2'!$B$8+'Commissioning'!O14*'Project Register v2'!$B$38+'Commissioning'!O20*'Project Register v2'!$B$68+'Commissioning'!O26*'Project Register v2'!$B$98+'Commissioning'!O32*'Project Register v2'!$B$128+'Commissioning'!O38*'Project Register v2'!$B$158+'Commissioning'!O44*'Project Register v2'!$B$188+'Commissioning'!O50*'Project Register v2'!$B$218+'Commissioning'!O56*'Project Register v2'!$B$248+'Commissioning'!O62*'Project Register v2'!$B$278</f>
        <v/>
      </c>
      <c r="P7" s="44">
        <f>'Commissioning'!P8*'Project Register v2'!$B$8+'Commissioning'!P14*'Project Register v2'!$B$38+'Commissioning'!P20*'Project Register v2'!$B$68+'Commissioning'!P26*'Project Register v2'!$B$98+'Commissioning'!P32*'Project Register v2'!$B$128+'Commissioning'!P38*'Project Register v2'!$B$158+'Commissioning'!P44*'Project Register v2'!$B$188+'Commissioning'!P50*'Project Register v2'!$B$218+'Commissioning'!P56*'Project Register v2'!$B$248+'Commissioning'!P62*'Project Register v2'!$B$278</f>
        <v/>
      </c>
    </row>
    <row r="8">
      <c r="A8" s="17" t="inlineStr">
        <is>
          <t xml:space="preserve">  AC4  Power Transformers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44">
        <f>'Commissioning'!G8*'Project Register v2'!$B$9+'Commissioning'!G14*'Project Register v2'!$B$39+'Commissioning'!G20*'Project Register v2'!$B$69+'Commissioning'!G26*'Project Register v2'!$B$99+'Commissioning'!G32*'Project Register v2'!$B$129+'Commissioning'!G38*'Project Register v2'!$B$159+'Commissioning'!G44*'Project Register v2'!$B$189+'Commissioning'!G50*'Project Register v2'!$B$219+'Commissioning'!G56*'Project Register v2'!$B$249+'Commissioning'!G62*'Project Register v2'!$B$279</f>
        <v/>
      </c>
      <c r="H8" s="44">
        <f>'Commissioning'!H8*'Project Register v2'!$B$9+'Commissioning'!H14*'Project Register v2'!$B$39+'Commissioning'!H20*'Project Register v2'!$B$69+'Commissioning'!H26*'Project Register v2'!$B$99+'Commissioning'!H32*'Project Register v2'!$B$129+'Commissioning'!H38*'Project Register v2'!$B$159+'Commissioning'!H44*'Project Register v2'!$B$189+'Commissioning'!H50*'Project Register v2'!$B$219+'Commissioning'!H56*'Project Register v2'!$B$249+'Commissioning'!H62*'Project Register v2'!$B$279</f>
        <v/>
      </c>
      <c r="I8" s="44">
        <f>'Commissioning'!I8*'Project Register v2'!$B$9+'Commissioning'!I14*'Project Register v2'!$B$39+'Commissioning'!I20*'Project Register v2'!$B$69+'Commissioning'!I26*'Project Register v2'!$B$99+'Commissioning'!I32*'Project Register v2'!$B$129+'Commissioning'!I38*'Project Register v2'!$B$159+'Commissioning'!I44*'Project Register v2'!$B$189+'Commissioning'!I50*'Project Register v2'!$B$219+'Commissioning'!I56*'Project Register v2'!$B$249+'Commissioning'!I62*'Project Register v2'!$B$279</f>
        <v/>
      </c>
      <c r="J8" s="44">
        <f>'Commissioning'!J8*'Project Register v2'!$B$9+'Commissioning'!J14*'Project Register v2'!$B$39+'Commissioning'!J20*'Project Register v2'!$B$69+'Commissioning'!J26*'Project Register v2'!$B$99+'Commissioning'!J32*'Project Register v2'!$B$129+'Commissioning'!J38*'Project Register v2'!$B$159+'Commissioning'!J44*'Project Register v2'!$B$189+'Commissioning'!J50*'Project Register v2'!$B$219+'Commissioning'!J56*'Project Register v2'!$B$249+'Commissioning'!J62*'Project Register v2'!$B$279</f>
        <v/>
      </c>
      <c r="K8" s="44">
        <f>'Commissioning'!K8*'Project Register v2'!$B$9+'Commissioning'!K14*'Project Register v2'!$B$39+'Commissioning'!K20*'Project Register v2'!$B$69+'Commissioning'!K26*'Project Register v2'!$B$99+'Commissioning'!K32*'Project Register v2'!$B$129+'Commissioning'!K38*'Project Register v2'!$B$159+'Commissioning'!K44*'Project Register v2'!$B$189+'Commissioning'!K50*'Project Register v2'!$B$219+'Commissioning'!K56*'Project Register v2'!$B$249+'Commissioning'!K62*'Project Register v2'!$B$279</f>
        <v/>
      </c>
      <c r="L8" s="44">
        <f>'Commissioning'!L8*'Project Register v2'!$B$9+'Commissioning'!L14*'Project Register v2'!$B$39+'Commissioning'!L20*'Project Register v2'!$B$69+'Commissioning'!L26*'Project Register v2'!$B$99+'Commissioning'!L32*'Project Register v2'!$B$129+'Commissioning'!L38*'Project Register v2'!$B$159+'Commissioning'!L44*'Project Register v2'!$B$189+'Commissioning'!L50*'Project Register v2'!$B$219+'Commissioning'!L56*'Project Register v2'!$B$249+'Commissioning'!L62*'Project Register v2'!$B$279</f>
        <v/>
      </c>
      <c r="M8" s="44">
        <f>'Commissioning'!M8*'Project Register v2'!$B$9+'Commissioning'!M14*'Project Register v2'!$B$39+'Commissioning'!M20*'Project Register v2'!$B$69+'Commissioning'!M26*'Project Register v2'!$B$99+'Commissioning'!M32*'Project Register v2'!$B$129+'Commissioning'!M38*'Project Register v2'!$B$159+'Commissioning'!M44*'Project Register v2'!$B$189+'Commissioning'!M50*'Project Register v2'!$B$219+'Commissioning'!M56*'Project Register v2'!$B$249+'Commissioning'!M62*'Project Register v2'!$B$279</f>
        <v/>
      </c>
      <c r="N8" s="44">
        <f>'Commissioning'!N8*'Project Register v2'!$B$9+'Commissioning'!N14*'Project Register v2'!$B$39+'Commissioning'!N20*'Project Register v2'!$B$69+'Commissioning'!N26*'Project Register v2'!$B$99+'Commissioning'!N32*'Project Register v2'!$B$129+'Commissioning'!N38*'Project Register v2'!$B$159+'Commissioning'!N44*'Project Register v2'!$B$189+'Commissioning'!N50*'Project Register v2'!$B$219+'Commissioning'!N56*'Project Register v2'!$B$249+'Commissioning'!N62*'Project Register v2'!$B$279</f>
        <v/>
      </c>
      <c r="O8" s="44">
        <f>'Commissioning'!O8*'Project Register v2'!$B$9+'Commissioning'!O14*'Project Register v2'!$B$39+'Commissioning'!O20*'Project Register v2'!$B$69+'Commissioning'!O26*'Project Register v2'!$B$99+'Commissioning'!O32*'Project Register v2'!$B$129+'Commissioning'!O38*'Project Register v2'!$B$159+'Commissioning'!O44*'Project Register v2'!$B$189+'Commissioning'!O50*'Project Register v2'!$B$219+'Commissioning'!O56*'Project Register v2'!$B$249+'Commissioning'!O62*'Project Register v2'!$B$279</f>
        <v/>
      </c>
      <c r="P8" s="44">
        <f>'Commissioning'!P8*'Project Register v2'!$B$9+'Commissioning'!P14*'Project Register v2'!$B$39+'Commissioning'!P20*'Project Register v2'!$B$69+'Commissioning'!P26*'Project Register v2'!$B$99+'Commissioning'!P32*'Project Register v2'!$B$129+'Commissioning'!P38*'Project Register v2'!$B$159+'Commissioning'!P44*'Project Register v2'!$B$189+'Commissioning'!P50*'Project Register v2'!$B$219+'Commissioning'!P56*'Project Register v2'!$B$249+'Commissioning'!P62*'Project Register v2'!$B$279</f>
        <v/>
      </c>
    </row>
    <row r="9">
      <c r="A9" s="17" t="inlineStr">
        <is>
          <t xml:space="preserve">  AC5  Switchgear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44">
        <f>'Commissioning'!G8*'Project Register v2'!$B$10+'Commissioning'!G14*'Project Register v2'!$B$40+'Commissioning'!G20*'Project Register v2'!$B$70+'Commissioning'!G26*'Project Register v2'!$B$100+'Commissioning'!G32*'Project Register v2'!$B$130+'Commissioning'!G38*'Project Register v2'!$B$160+'Commissioning'!G44*'Project Register v2'!$B$190+'Commissioning'!G50*'Project Register v2'!$B$220+'Commissioning'!G56*'Project Register v2'!$B$250+'Commissioning'!G62*'Project Register v2'!$B$280</f>
        <v/>
      </c>
      <c r="H9" s="44">
        <f>'Commissioning'!H8*'Project Register v2'!$B$10+'Commissioning'!H14*'Project Register v2'!$B$40+'Commissioning'!H20*'Project Register v2'!$B$70+'Commissioning'!H26*'Project Register v2'!$B$100+'Commissioning'!H32*'Project Register v2'!$B$130+'Commissioning'!H38*'Project Register v2'!$B$160+'Commissioning'!H44*'Project Register v2'!$B$190+'Commissioning'!H50*'Project Register v2'!$B$220+'Commissioning'!H56*'Project Register v2'!$B$250+'Commissioning'!H62*'Project Register v2'!$B$280</f>
        <v/>
      </c>
      <c r="I9" s="44">
        <f>'Commissioning'!I8*'Project Register v2'!$B$10+'Commissioning'!I14*'Project Register v2'!$B$40+'Commissioning'!I20*'Project Register v2'!$B$70+'Commissioning'!I26*'Project Register v2'!$B$100+'Commissioning'!I32*'Project Register v2'!$B$130+'Commissioning'!I38*'Project Register v2'!$B$160+'Commissioning'!I44*'Project Register v2'!$B$190+'Commissioning'!I50*'Project Register v2'!$B$220+'Commissioning'!I56*'Project Register v2'!$B$250+'Commissioning'!I62*'Project Register v2'!$B$280</f>
        <v/>
      </c>
      <c r="J9" s="44">
        <f>'Commissioning'!J8*'Project Register v2'!$B$10+'Commissioning'!J14*'Project Register v2'!$B$40+'Commissioning'!J20*'Project Register v2'!$B$70+'Commissioning'!J26*'Project Register v2'!$B$100+'Commissioning'!J32*'Project Register v2'!$B$130+'Commissioning'!J38*'Project Register v2'!$B$160+'Commissioning'!J44*'Project Register v2'!$B$190+'Commissioning'!J50*'Project Register v2'!$B$220+'Commissioning'!J56*'Project Register v2'!$B$250+'Commissioning'!J62*'Project Register v2'!$B$280</f>
        <v/>
      </c>
      <c r="K9" s="44">
        <f>'Commissioning'!K8*'Project Register v2'!$B$10+'Commissioning'!K14*'Project Register v2'!$B$40+'Commissioning'!K20*'Project Register v2'!$B$70+'Commissioning'!K26*'Project Register v2'!$B$100+'Commissioning'!K32*'Project Register v2'!$B$130+'Commissioning'!K38*'Project Register v2'!$B$160+'Commissioning'!K44*'Project Register v2'!$B$190+'Commissioning'!K50*'Project Register v2'!$B$220+'Commissioning'!K56*'Project Register v2'!$B$250+'Commissioning'!K62*'Project Register v2'!$B$280</f>
        <v/>
      </c>
      <c r="L9" s="44">
        <f>'Commissioning'!L8*'Project Register v2'!$B$10+'Commissioning'!L14*'Project Register v2'!$B$40+'Commissioning'!L20*'Project Register v2'!$B$70+'Commissioning'!L26*'Project Register v2'!$B$100+'Commissioning'!L32*'Project Register v2'!$B$130+'Commissioning'!L38*'Project Register v2'!$B$160+'Commissioning'!L44*'Project Register v2'!$B$190+'Commissioning'!L50*'Project Register v2'!$B$220+'Commissioning'!L56*'Project Register v2'!$B$250+'Commissioning'!L62*'Project Register v2'!$B$280</f>
        <v/>
      </c>
      <c r="M9" s="44">
        <f>'Commissioning'!M8*'Project Register v2'!$B$10+'Commissioning'!M14*'Project Register v2'!$B$40+'Commissioning'!M20*'Project Register v2'!$B$70+'Commissioning'!M26*'Project Register v2'!$B$100+'Commissioning'!M32*'Project Register v2'!$B$130+'Commissioning'!M38*'Project Register v2'!$B$160+'Commissioning'!M44*'Project Register v2'!$B$190+'Commissioning'!M50*'Project Register v2'!$B$220+'Commissioning'!M56*'Project Register v2'!$B$250+'Commissioning'!M62*'Project Register v2'!$B$280</f>
        <v/>
      </c>
      <c r="N9" s="44">
        <f>'Commissioning'!N8*'Project Register v2'!$B$10+'Commissioning'!N14*'Project Register v2'!$B$40+'Commissioning'!N20*'Project Register v2'!$B$70+'Commissioning'!N26*'Project Register v2'!$B$100+'Commissioning'!N32*'Project Register v2'!$B$130+'Commissioning'!N38*'Project Register v2'!$B$160+'Commissioning'!N44*'Project Register v2'!$B$190+'Commissioning'!N50*'Project Register v2'!$B$220+'Commissioning'!N56*'Project Register v2'!$B$250+'Commissioning'!N62*'Project Register v2'!$B$280</f>
        <v/>
      </c>
      <c r="O9" s="44">
        <f>'Commissioning'!O8*'Project Register v2'!$B$10+'Commissioning'!O14*'Project Register v2'!$B$40+'Commissioning'!O20*'Project Register v2'!$B$70+'Commissioning'!O26*'Project Register v2'!$B$100+'Commissioning'!O32*'Project Register v2'!$B$130+'Commissioning'!O38*'Project Register v2'!$B$160+'Commissioning'!O44*'Project Register v2'!$B$190+'Commissioning'!O50*'Project Register v2'!$B$220+'Commissioning'!O56*'Project Register v2'!$B$250+'Commissioning'!O62*'Project Register v2'!$B$280</f>
        <v/>
      </c>
      <c r="P9" s="44">
        <f>'Commissioning'!P8*'Project Register v2'!$B$10+'Commissioning'!P14*'Project Register v2'!$B$40+'Commissioning'!P20*'Project Register v2'!$B$70+'Commissioning'!P26*'Project Register v2'!$B$100+'Commissioning'!P32*'Project Register v2'!$B$130+'Commissioning'!P38*'Project Register v2'!$B$160+'Commissioning'!P44*'Project Register v2'!$B$190+'Commissioning'!P50*'Project Register v2'!$B$220+'Commissioning'!P56*'Project Register v2'!$B$250+'Commissioning'!P62*'Project Register v2'!$B$280</f>
        <v/>
      </c>
    </row>
    <row r="10">
      <c r="A10" s="17" t="inlineStr">
        <is>
          <t xml:space="preserve">  AC6  Substation Plant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6" t="n">
        <v>0</v>
      </c>
      <c r="G10" s="44">
        <f>'Commissioning'!G8*'Project Register v2'!$B$11+'Commissioning'!G14*'Project Register v2'!$B$41+'Commissioning'!G20*'Project Register v2'!$B$71+'Commissioning'!G26*'Project Register v2'!$B$101+'Commissioning'!G32*'Project Register v2'!$B$131+'Commissioning'!G38*'Project Register v2'!$B$161+'Commissioning'!G44*'Project Register v2'!$B$191+'Commissioning'!G50*'Project Register v2'!$B$221+'Commissioning'!G56*'Project Register v2'!$B$251+'Commissioning'!G62*'Project Register v2'!$B$281</f>
        <v/>
      </c>
      <c r="H10" s="44">
        <f>'Commissioning'!H8*'Project Register v2'!$B$11+'Commissioning'!H14*'Project Register v2'!$B$41+'Commissioning'!H20*'Project Register v2'!$B$71+'Commissioning'!H26*'Project Register v2'!$B$101+'Commissioning'!H32*'Project Register v2'!$B$131+'Commissioning'!H38*'Project Register v2'!$B$161+'Commissioning'!H44*'Project Register v2'!$B$191+'Commissioning'!H50*'Project Register v2'!$B$221+'Commissioning'!H56*'Project Register v2'!$B$251+'Commissioning'!H62*'Project Register v2'!$B$281</f>
        <v/>
      </c>
      <c r="I10" s="44">
        <f>'Commissioning'!I8*'Project Register v2'!$B$11+'Commissioning'!I14*'Project Register v2'!$B$41+'Commissioning'!I20*'Project Register v2'!$B$71+'Commissioning'!I26*'Project Register v2'!$B$101+'Commissioning'!I32*'Project Register v2'!$B$131+'Commissioning'!I38*'Project Register v2'!$B$161+'Commissioning'!I44*'Project Register v2'!$B$191+'Commissioning'!I50*'Project Register v2'!$B$221+'Commissioning'!I56*'Project Register v2'!$B$251+'Commissioning'!I62*'Project Register v2'!$B$281</f>
        <v/>
      </c>
      <c r="J10" s="44">
        <f>'Commissioning'!J8*'Project Register v2'!$B$11+'Commissioning'!J14*'Project Register v2'!$B$41+'Commissioning'!J20*'Project Register v2'!$B$71+'Commissioning'!J26*'Project Register v2'!$B$101+'Commissioning'!J32*'Project Register v2'!$B$131+'Commissioning'!J38*'Project Register v2'!$B$161+'Commissioning'!J44*'Project Register v2'!$B$191+'Commissioning'!J50*'Project Register v2'!$B$221+'Commissioning'!J56*'Project Register v2'!$B$251+'Commissioning'!J62*'Project Register v2'!$B$281</f>
        <v/>
      </c>
      <c r="K10" s="44">
        <f>'Commissioning'!K8*'Project Register v2'!$B$11+'Commissioning'!K14*'Project Register v2'!$B$41+'Commissioning'!K20*'Project Register v2'!$B$71+'Commissioning'!K26*'Project Register v2'!$B$101+'Commissioning'!K32*'Project Register v2'!$B$131+'Commissioning'!K38*'Project Register v2'!$B$161+'Commissioning'!K44*'Project Register v2'!$B$191+'Commissioning'!K50*'Project Register v2'!$B$221+'Commissioning'!K56*'Project Register v2'!$B$251+'Commissioning'!K62*'Project Register v2'!$B$281</f>
        <v/>
      </c>
      <c r="L10" s="44">
        <f>'Commissioning'!L8*'Project Register v2'!$B$11+'Commissioning'!L14*'Project Register v2'!$B$41+'Commissioning'!L20*'Project Register v2'!$B$71+'Commissioning'!L26*'Project Register v2'!$B$101+'Commissioning'!L32*'Project Register v2'!$B$131+'Commissioning'!L38*'Project Register v2'!$B$161+'Commissioning'!L44*'Project Register v2'!$B$191+'Commissioning'!L50*'Project Register v2'!$B$221+'Commissioning'!L56*'Project Register v2'!$B$251+'Commissioning'!L62*'Project Register v2'!$B$281</f>
        <v/>
      </c>
      <c r="M10" s="44">
        <f>'Commissioning'!M8*'Project Register v2'!$B$11+'Commissioning'!M14*'Project Register v2'!$B$41+'Commissioning'!M20*'Project Register v2'!$B$71+'Commissioning'!M26*'Project Register v2'!$B$101+'Commissioning'!M32*'Project Register v2'!$B$131+'Commissioning'!M38*'Project Register v2'!$B$161+'Commissioning'!M44*'Project Register v2'!$B$191+'Commissioning'!M50*'Project Register v2'!$B$221+'Commissioning'!M56*'Project Register v2'!$B$251+'Commissioning'!M62*'Project Register v2'!$B$281</f>
        <v/>
      </c>
      <c r="N10" s="44">
        <f>'Commissioning'!N8*'Project Register v2'!$B$11+'Commissioning'!N14*'Project Register v2'!$B$41+'Commissioning'!N20*'Project Register v2'!$B$71+'Commissioning'!N26*'Project Register v2'!$B$101+'Commissioning'!N32*'Project Register v2'!$B$131+'Commissioning'!N38*'Project Register v2'!$B$161+'Commissioning'!N44*'Project Register v2'!$B$191+'Commissioning'!N50*'Project Register v2'!$B$221+'Commissioning'!N56*'Project Register v2'!$B$251+'Commissioning'!N62*'Project Register v2'!$B$281</f>
        <v/>
      </c>
      <c r="O10" s="44">
        <f>'Commissioning'!O8*'Project Register v2'!$B$11+'Commissioning'!O14*'Project Register v2'!$B$41+'Commissioning'!O20*'Project Register v2'!$B$71+'Commissioning'!O26*'Project Register v2'!$B$101+'Commissioning'!O32*'Project Register v2'!$B$131+'Commissioning'!O38*'Project Register v2'!$B$161+'Commissioning'!O44*'Project Register v2'!$B$191+'Commissioning'!O50*'Project Register v2'!$B$221+'Commissioning'!O56*'Project Register v2'!$B$251+'Commissioning'!O62*'Project Register v2'!$B$281</f>
        <v/>
      </c>
      <c r="P10" s="44">
        <f>'Commissioning'!P8*'Project Register v2'!$B$11+'Commissioning'!P14*'Project Register v2'!$B$41+'Commissioning'!P20*'Project Register v2'!$B$71+'Commissioning'!P26*'Project Register v2'!$B$101+'Commissioning'!P32*'Project Register v2'!$B$131+'Commissioning'!P38*'Project Register v2'!$B$161+'Commissioning'!P44*'Project Register v2'!$B$191+'Commissioning'!P50*'Project Register v2'!$B$221+'Commissioning'!P56*'Project Register v2'!$B$251+'Commissioning'!P62*'Project Register v2'!$B$281</f>
        <v/>
      </c>
    </row>
    <row r="11">
      <c r="A11" s="17" t="inlineStr">
        <is>
          <t xml:space="preserve">  AC7  Protection &amp; Control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44">
        <f>'Commissioning'!G8*'Project Register v2'!$B$12+'Commissioning'!G14*'Project Register v2'!$B$42+'Commissioning'!G20*'Project Register v2'!$B$72+'Commissioning'!G26*'Project Register v2'!$B$102+'Commissioning'!G32*'Project Register v2'!$B$132+'Commissioning'!G38*'Project Register v2'!$B$162+'Commissioning'!G44*'Project Register v2'!$B$192+'Commissioning'!G50*'Project Register v2'!$B$222+'Commissioning'!G56*'Project Register v2'!$B$252+'Commissioning'!G62*'Project Register v2'!$B$282</f>
        <v/>
      </c>
      <c r="H11" s="44">
        <f>'Commissioning'!H8*'Project Register v2'!$B$12+'Commissioning'!H14*'Project Register v2'!$B$42+'Commissioning'!H20*'Project Register v2'!$B$72+'Commissioning'!H26*'Project Register v2'!$B$102+'Commissioning'!H32*'Project Register v2'!$B$132+'Commissioning'!H38*'Project Register v2'!$B$162+'Commissioning'!H44*'Project Register v2'!$B$192+'Commissioning'!H50*'Project Register v2'!$B$222+'Commissioning'!H56*'Project Register v2'!$B$252+'Commissioning'!H62*'Project Register v2'!$B$282</f>
        <v/>
      </c>
      <c r="I11" s="44">
        <f>'Commissioning'!I8*'Project Register v2'!$B$12+'Commissioning'!I14*'Project Register v2'!$B$42+'Commissioning'!I20*'Project Register v2'!$B$72+'Commissioning'!I26*'Project Register v2'!$B$102+'Commissioning'!I32*'Project Register v2'!$B$132+'Commissioning'!I38*'Project Register v2'!$B$162+'Commissioning'!I44*'Project Register v2'!$B$192+'Commissioning'!I50*'Project Register v2'!$B$222+'Commissioning'!I56*'Project Register v2'!$B$252+'Commissioning'!I62*'Project Register v2'!$B$282</f>
        <v/>
      </c>
      <c r="J11" s="44">
        <f>'Commissioning'!J8*'Project Register v2'!$B$12+'Commissioning'!J14*'Project Register v2'!$B$42+'Commissioning'!J20*'Project Register v2'!$B$72+'Commissioning'!J26*'Project Register v2'!$B$102+'Commissioning'!J32*'Project Register v2'!$B$132+'Commissioning'!J38*'Project Register v2'!$B$162+'Commissioning'!J44*'Project Register v2'!$B$192+'Commissioning'!J50*'Project Register v2'!$B$222+'Commissioning'!J56*'Project Register v2'!$B$252+'Commissioning'!J62*'Project Register v2'!$B$282</f>
        <v/>
      </c>
      <c r="K11" s="44">
        <f>'Commissioning'!K8*'Project Register v2'!$B$12+'Commissioning'!K14*'Project Register v2'!$B$42+'Commissioning'!K20*'Project Register v2'!$B$72+'Commissioning'!K26*'Project Register v2'!$B$102+'Commissioning'!K32*'Project Register v2'!$B$132+'Commissioning'!K38*'Project Register v2'!$B$162+'Commissioning'!K44*'Project Register v2'!$B$192+'Commissioning'!K50*'Project Register v2'!$B$222+'Commissioning'!K56*'Project Register v2'!$B$252+'Commissioning'!K62*'Project Register v2'!$B$282</f>
        <v/>
      </c>
      <c r="L11" s="44">
        <f>'Commissioning'!L8*'Project Register v2'!$B$12+'Commissioning'!L14*'Project Register v2'!$B$42+'Commissioning'!L20*'Project Register v2'!$B$72+'Commissioning'!L26*'Project Register v2'!$B$102+'Commissioning'!L32*'Project Register v2'!$B$132+'Commissioning'!L38*'Project Register v2'!$B$162+'Commissioning'!L44*'Project Register v2'!$B$192+'Commissioning'!L50*'Project Register v2'!$B$222+'Commissioning'!L56*'Project Register v2'!$B$252+'Commissioning'!L62*'Project Register v2'!$B$282</f>
        <v/>
      </c>
      <c r="M11" s="44">
        <f>'Commissioning'!M8*'Project Register v2'!$B$12+'Commissioning'!M14*'Project Register v2'!$B$42+'Commissioning'!M20*'Project Register v2'!$B$72+'Commissioning'!M26*'Project Register v2'!$B$102+'Commissioning'!M32*'Project Register v2'!$B$132+'Commissioning'!M38*'Project Register v2'!$B$162+'Commissioning'!M44*'Project Register v2'!$B$192+'Commissioning'!M50*'Project Register v2'!$B$222+'Commissioning'!M56*'Project Register v2'!$B$252+'Commissioning'!M62*'Project Register v2'!$B$282</f>
        <v/>
      </c>
      <c r="N11" s="44">
        <f>'Commissioning'!N8*'Project Register v2'!$B$12+'Commissioning'!N14*'Project Register v2'!$B$42+'Commissioning'!N20*'Project Register v2'!$B$72+'Commissioning'!N26*'Project Register v2'!$B$102+'Commissioning'!N32*'Project Register v2'!$B$132+'Commissioning'!N38*'Project Register v2'!$B$162+'Commissioning'!N44*'Project Register v2'!$B$192+'Commissioning'!N50*'Project Register v2'!$B$222+'Commissioning'!N56*'Project Register v2'!$B$252+'Commissioning'!N62*'Project Register v2'!$B$282</f>
        <v/>
      </c>
      <c r="O11" s="44">
        <f>'Commissioning'!O8*'Project Register v2'!$B$12+'Commissioning'!O14*'Project Register v2'!$B$42+'Commissioning'!O20*'Project Register v2'!$B$72+'Commissioning'!O26*'Project Register v2'!$B$102+'Commissioning'!O32*'Project Register v2'!$B$132+'Commissioning'!O38*'Project Register v2'!$B$162+'Commissioning'!O44*'Project Register v2'!$B$192+'Commissioning'!O50*'Project Register v2'!$B$222+'Commissioning'!O56*'Project Register v2'!$B$252+'Commissioning'!O62*'Project Register v2'!$B$282</f>
        <v/>
      </c>
      <c r="P11" s="44">
        <f>'Commissioning'!P8*'Project Register v2'!$B$12+'Commissioning'!P14*'Project Register v2'!$B$42+'Commissioning'!P20*'Project Register v2'!$B$72+'Commissioning'!P26*'Project Register v2'!$B$102+'Commissioning'!P32*'Project Register v2'!$B$132+'Commissioning'!P38*'Project Register v2'!$B$162+'Commissioning'!P44*'Project Register v2'!$B$192+'Commissioning'!P50*'Project Register v2'!$B$222+'Commissioning'!P56*'Project Register v2'!$B$252+'Commissioning'!P62*'Project Register v2'!$B$282</f>
        <v/>
      </c>
    </row>
    <row r="12">
      <c r="A12" s="17" t="inlineStr">
        <is>
          <t xml:space="preserve">  AC8  SCADA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44">
        <f>'Commissioning'!G8*'Project Register v2'!$B$13+'Commissioning'!G14*'Project Register v2'!$B$43+'Commissioning'!G20*'Project Register v2'!$B$73+'Commissioning'!G26*'Project Register v2'!$B$103+'Commissioning'!G32*'Project Register v2'!$B$133+'Commissioning'!G38*'Project Register v2'!$B$163+'Commissioning'!G44*'Project Register v2'!$B$193+'Commissioning'!G50*'Project Register v2'!$B$223+'Commissioning'!G56*'Project Register v2'!$B$253+'Commissioning'!G62*'Project Register v2'!$B$283</f>
        <v/>
      </c>
      <c r="H12" s="44">
        <f>'Commissioning'!H8*'Project Register v2'!$B$13+'Commissioning'!H14*'Project Register v2'!$B$43+'Commissioning'!H20*'Project Register v2'!$B$73+'Commissioning'!H26*'Project Register v2'!$B$103+'Commissioning'!H32*'Project Register v2'!$B$133+'Commissioning'!H38*'Project Register v2'!$B$163+'Commissioning'!H44*'Project Register v2'!$B$193+'Commissioning'!H50*'Project Register v2'!$B$223+'Commissioning'!H56*'Project Register v2'!$B$253+'Commissioning'!H62*'Project Register v2'!$B$283</f>
        <v/>
      </c>
      <c r="I12" s="44">
        <f>'Commissioning'!I8*'Project Register v2'!$B$13+'Commissioning'!I14*'Project Register v2'!$B$43+'Commissioning'!I20*'Project Register v2'!$B$73+'Commissioning'!I26*'Project Register v2'!$B$103+'Commissioning'!I32*'Project Register v2'!$B$133+'Commissioning'!I38*'Project Register v2'!$B$163+'Commissioning'!I44*'Project Register v2'!$B$193+'Commissioning'!I50*'Project Register v2'!$B$223+'Commissioning'!I56*'Project Register v2'!$B$253+'Commissioning'!I62*'Project Register v2'!$B$283</f>
        <v/>
      </c>
      <c r="J12" s="44">
        <f>'Commissioning'!J8*'Project Register v2'!$B$13+'Commissioning'!J14*'Project Register v2'!$B$43+'Commissioning'!J20*'Project Register v2'!$B$73+'Commissioning'!J26*'Project Register v2'!$B$103+'Commissioning'!J32*'Project Register v2'!$B$133+'Commissioning'!J38*'Project Register v2'!$B$163+'Commissioning'!J44*'Project Register v2'!$B$193+'Commissioning'!J50*'Project Register v2'!$B$223+'Commissioning'!J56*'Project Register v2'!$B$253+'Commissioning'!J62*'Project Register v2'!$B$283</f>
        <v/>
      </c>
      <c r="K12" s="44">
        <f>'Commissioning'!K8*'Project Register v2'!$B$13+'Commissioning'!K14*'Project Register v2'!$B$43+'Commissioning'!K20*'Project Register v2'!$B$73+'Commissioning'!K26*'Project Register v2'!$B$103+'Commissioning'!K32*'Project Register v2'!$B$133+'Commissioning'!K38*'Project Register v2'!$B$163+'Commissioning'!K44*'Project Register v2'!$B$193+'Commissioning'!K50*'Project Register v2'!$B$223+'Commissioning'!K56*'Project Register v2'!$B$253+'Commissioning'!K62*'Project Register v2'!$B$283</f>
        <v/>
      </c>
      <c r="L12" s="44">
        <f>'Commissioning'!L8*'Project Register v2'!$B$13+'Commissioning'!L14*'Project Register v2'!$B$43+'Commissioning'!L20*'Project Register v2'!$B$73+'Commissioning'!L26*'Project Register v2'!$B$103+'Commissioning'!L32*'Project Register v2'!$B$133+'Commissioning'!L38*'Project Register v2'!$B$163+'Commissioning'!L44*'Project Register v2'!$B$193+'Commissioning'!L50*'Project Register v2'!$B$223+'Commissioning'!L56*'Project Register v2'!$B$253+'Commissioning'!L62*'Project Register v2'!$B$283</f>
        <v/>
      </c>
      <c r="M12" s="44">
        <f>'Commissioning'!M8*'Project Register v2'!$B$13+'Commissioning'!M14*'Project Register v2'!$B$43+'Commissioning'!M20*'Project Register v2'!$B$73+'Commissioning'!M26*'Project Register v2'!$B$103+'Commissioning'!M32*'Project Register v2'!$B$133+'Commissioning'!M38*'Project Register v2'!$B$163+'Commissioning'!M44*'Project Register v2'!$B$193+'Commissioning'!M50*'Project Register v2'!$B$223+'Commissioning'!M56*'Project Register v2'!$B$253+'Commissioning'!M62*'Project Register v2'!$B$283</f>
        <v/>
      </c>
      <c r="N12" s="44">
        <f>'Commissioning'!N8*'Project Register v2'!$B$13+'Commissioning'!N14*'Project Register v2'!$B$43+'Commissioning'!N20*'Project Register v2'!$B$73+'Commissioning'!N26*'Project Register v2'!$B$103+'Commissioning'!N32*'Project Register v2'!$B$133+'Commissioning'!N38*'Project Register v2'!$B$163+'Commissioning'!N44*'Project Register v2'!$B$193+'Commissioning'!N50*'Project Register v2'!$B$223+'Commissioning'!N56*'Project Register v2'!$B$253+'Commissioning'!N62*'Project Register v2'!$B$283</f>
        <v/>
      </c>
      <c r="O12" s="44">
        <f>'Commissioning'!O8*'Project Register v2'!$B$13+'Commissioning'!O14*'Project Register v2'!$B$43+'Commissioning'!O20*'Project Register v2'!$B$73+'Commissioning'!O26*'Project Register v2'!$B$103+'Commissioning'!O32*'Project Register v2'!$B$133+'Commissioning'!O38*'Project Register v2'!$B$163+'Commissioning'!O44*'Project Register v2'!$B$193+'Commissioning'!O50*'Project Register v2'!$B$223+'Commissioning'!O56*'Project Register v2'!$B$253+'Commissioning'!O62*'Project Register v2'!$B$283</f>
        <v/>
      </c>
      <c r="P12" s="44">
        <f>'Commissioning'!P8*'Project Register v2'!$B$13+'Commissioning'!P14*'Project Register v2'!$B$43+'Commissioning'!P20*'Project Register v2'!$B$73+'Commissioning'!P26*'Project Register v2'!$B$103+'Commissioning'!P32*'Project Register v2'!$B$133+'Commissioning'!P38*'Project Register v2'!$B$163+'Commissioning'!P44*'Project Register v2'!$B$193+'Commissioning'!P50*'Project Register v2'!$B$223+'Commissioning'!P56*'Project Register v2'!$B$253+'Commissioning'!P62*'Project Register v2'!$B$283</f>
        <v/>
      </c>
    </row>
    <row r="13">
      <c r="A13" s="17" t="inlineStr">
        <is>
          <t xml:space="preserve">  AC9  Metering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44">
        <f>'Commissioning'!G8*'Project Register v2'!$B$14+'Commissioning'!G14*'Project Register v2'!$B$44+'Commissioning'!G20*'Project Register v2'!$B$74+'Commissioning'!G26*'Project Register v2'!$B$104+'Commissioning'!G32*'Project Register v2'!$B$134+'Commissioning'!G38*'Project Register v2'!$B$164+'Commissioning'!G44*'Project Register v2'!$B$194+'Commissioning'!G50*'Project Register v2'!$B$224+'Commissioning'!G56*'Project Register v2'!$B$254+'Commissioning'!G62*'Project Register v2'!$B$284</f>
        <v/>
      </c>
      <c r="H13" s="44">
        <f>'Commissioning'!H8*'Project Register v2'!$B$14+'Commissioning'!H14*'Project Register v2'!$B$44+'Commissioning'!H20*'Project Register v2'!$B$74+'Commissioning'!H26*'Project Register v2'!$B$104+'Commissioning'!H32*'Project Register v2'!$B$134+'Commissioning'!H38*'Project Register v2'!$B$164+'Commissioning'!H44*'Project Register v2'!$B$194+'Commissioning'!H50*'Project Register v2'!$B$224+'Commissioning'!H56*'Project Register v2'!$B$254+'Commissioning'!H62*'Project Register v2'!$B$284</f>
        <v/>
      </c>
      <c r="I13" s="44">
        <f>'Commissioning'!I8*'Project Register v2'!$B$14+'Commissioning'!I14*'Project Register v2'!$B$44+'Commissioning'!I20*'Project Register v2'!$B$74+'Commissioning'!I26*'Project Register v2'!$B$104+'Commissioning'!I32*'Project Register v2'!$B$134+'Commissioning'!I38*'Project Register v2'!$B$164+'Commissioning'!I44*'Project Register v2'!$B$194+'Commissioning'!I50*'Project Register v2'!$B$224+'Commissioning'!I56*'Project Register v2'!$B$254+'Commissioning'!I62*'Project Register v2'!$B$284</f>
        <v/>
      </c>
      <c r="J13" s="44">
        <f>'Commissioning'!J8*'Project Register v2'!$B$14+'Commissioning'!J14*'Project Register v2'!$B$44+'Commissioning'!J20*'Project Register v2'!$B$74+'Commissioning'!J26*'Project Register v2'!$B$104+'Commissioning'!J32*'Project Register v2'!$B$134+'Commissioning'!J38*'Project Register v2'!$B$164+'Commissioning'!J44*'Project Register v2'!$B$194+'Commissioning'!J50*'Project Register v2'!$B$224+'Commissioning'!J56*'Project Register v2'!$B$254+'Commissioning'!J62*'Project Register v2'!$B$284</f>
        <v/>
      </c>
      <c r="K13" s="44">
        <f>'Commissioning'!K8*'Project Register v2'!$B$14+'Commissioning'!K14*'Project Register v2'!$B$44+'Commissioning'!K20*'Project Register v2'!$B$74+'Commissioning'!K26*'Project Register v2'!$B$104+'Commissioning'!K32*'Project Register v2'!$B$134+'Commissioning'!K38*'Project Register v2'!$B$164+'Commissioning'!K44*'Project Register v2'!$B$194+'Commissioning'!K50*'Project Register v2'!$B$224+'Commissioning'!K56*'Project Register v2'!$B$254+'Commissioning'!K62*'Project Register v2'!$B$284</f>
        <v/>
      </c>
      <c r="L13" s="44">
        <f>'Commissioning'!L8*'Project Register v2'!$B$14+'Commissioning'!L14*'Project Register v2'!$B$44+'Commissioning'!L20*'Project Register v2'!$B$74+'Commissioning'!L26*'Project Register v2'!$B$104+'Commissioning'!L32*'Project Register v2'!$B$134+'Commissioning'!L38*'Project Register v2'!$B$164+'Commissioning'!L44*'Project Register v2'!$B$194+'Commissioning'!L50*'Project Register v2'!$B$224+'Commissioning'!L56*'Project Register v2'!$B$254+'Commissioning'!L62*'Project Register v2'!$B$284</f>
        <v/>
      </c>
      <c r="M13" s="44">
        <f>'Commissioning'!M8*'Project Register v2'!$B$14+'Commissioning'!M14*'Project Register v2'!$B$44+'Commissioning'!M20*'Project Register v2'!$B$74+'Commissioning'!M26*'Project Register v2'!$B$104+'Commissioning'!M32*'Project Register v2'!$B$134+'Commissioning'!M38*'Project Register v2'!$B$164+'Commissioning'!M44*'Project Register v2'!$B$194+'Commissioning'!M50*'Project Register v2'!$B$224+'Commissioning'!M56*'Project Register v2'!$B$254+'Commissioning'!M62*'Project Register v2'!$B$284</f>
        <v/>
      </c>
      <c r="N13" s="44">
        <f>'Commissioning'!N8*'Project Register v2'!$B$14+'Commissioning'!N14*'Project Register v2'!$B$44+'Commissioning'!N20*'Project Register v2'!$B$74+'Commissioning'!N26*'Project Register v2'!$B$104+'Commissioning'!N32*'Project Register v2'!$B$134+'Commissioning'!N38*'Project Register v2'!$B$164+'Commissioning'!N44*'Project Register v2'!$B$194+'Commissioning'!N50*'Project Register v2'!$B$224+'Commissioning'!N56*'Project Register v2'!$B$254+'Commissioning'!N62*'Project Register v2'!$B$284</f>
        <v/>
      </c>
      <c r="O13" s="44">
        <f>'Commissioning'!O8*'Project Register v2'!$B$14+'Commissioning'!O14*'Project Register v2'!$B$44+'Commissioning'!O20*'Project Register v2'!$B$74+'Commissioning'!O26*'Project Register v2'!$B$104+'Commissioning'!O32*'Project Register v2'!$B$134+'Commissioning'!O38*'Project Register v2'!$B$164+'Commissioning'!O44*'Project Register v2'!$B$194+'Commissioning'!O50*'Project Register v2'!$B$224+'Commissioning'!O56*'Project Register v2'!$B$254+'Commissioning'!O62*'Project Register v2'!$B$284</f>
        <v/>
      </c>
      <c r="P13" s="44">
        <f>'Commissioning'!P8*'Project Register v2'!$B$14+'Commissioning'!P14*'Project Register v2'!$B$44+'Commissioning'!P20*'Project Register v2'!$B$74+'Commissioning'!P26*'Project Register v2'!$B$104+'Commissioning'!P32*'Project Register v2'!$B$134+'Commissioning'!P38*'Project Register v2'!$B$164+'Commissioning'!P44*'Project Register v2'!$B$194+'Commissioning'!P50*'Project Register v2'!$B$224+'Commissioning'!P56*'Project Register v2'!$B$254+'Commissioning'!P62*'Project Register v2'!$B$284</f>
        <v/>
      </c>
    </row>
    <row r="14">
      <c r="A14" s="17" t="inlineStr">
        <is>
          <t xml:space="preserve">  AC10  Buildings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44">
        <f>'Commissioning'!G8*'Project Register v2'!$B$15+'Commissioning'!G14*'Project Register v2'!$B$45+'Commissioning'!G20*'Project Register v2'!$B$75+'Commissioning'!G26*'Project Register v2'!$B$105+'Commissioning'!G32*'Project Register v2'!$B$135+'Commissioning'!G38*'Project Register v2'!$B$165+'Commissioning'!G44*'Project Register v2'!$B$195+'Commissioning'!G50*'Project Register v2'!$B$225+'Commissioning'!G56*'Project Register v2'!$B$255+'Commissioning'!G62*'Project Register v2'!$B$285</f>
        <v/>
      </c>
      <c r="H14" s="44">
        <f>'Commissioning'!H8*'Project Register v2'!$B$15+'Commissioning'!H14*'Project Register v2'!$B$45+'Commissioning'!H20*'Project Register v2'!$B$75+'Commissioning'!H26*'Project Register v2'!$B$105+'Commissioning'!H32*'Project Register v2'!$B$135+'Commissioning'!H38*'Project Register v2'!$B$165+'Commissioning'!H44*'Project Register v2'!$B$195+'Commissioning'!H50*'Project Register v2'!$B$225+'Commissioning'!H56*'Project Register v2'!$B$255+'Commissioning'!H62*'Project Register v2'!$B$285</f>
        <v/>
      </c>
      <c r="I14" s="44">
        <f>'Commissioning'!I8*'Project Register v2'!$B$15+'Commissioning'!I14*'Project Register v2'!$B$45+'Commissioning'!I20*'Project Register v2'!$B$75+'Commissioning'!I26*'Project Register v2'!$B$105+'Commissioning'!I32*'Project Register v2'!$B$135+'Commissioning'!I38*'Project Register v2'!$B$165+'Commissioning'!I44*'Project Register v2'!$B$195+'Commissioning'!I50*'Project Register v2'!$B$225+'Commissioning'!I56*'Project Register v2'!$B$255+'Commissioning'!I62*'Project Register v2'!$B$285</f>
        <v/>
      </c>
      <c r="J14" s="44">
        <f>'Commissioning'!J8*'Project Register v2'!$B$15+'Commissioning'!J14*'Project Register v2'!$B$45+'Commissioning'!J20*'Project Register v2'!$B$75+'Commissioning'!J26*'Project Register v2'!$B$105+'Commissioning'!J32*'Project Register v2'!$B$135+'Commissioning'!J38*'Project Register v2'!$B$165+'Commissioning'!J44*'Project Register v2'!$B$195+'Commissioning'!J50*'Project Register v2'!$B$225+'Commissioning'!J56*'Project Register v2'!$B$255+'Commissioning'!J62*'Project Register v2'!$B$285</f>
        <v/>
      </c>
      <c r="K14" s="44">
        <f>'Commissioning'!K8*'Project Register v2'!$B$15+'Commissioning'!K14*'Project Register v2'!$B$45+'Commissioning'!K20*'Project Register v2'!$B$75+'Commissioning'!K26*'Project Register v2'!$B$105+'Commissioning'!K32*'Project Register v2'!$B$135+'Commissioning'!K38*'Project Register v2'!$B$165+'Commissioning'!K44*'Project Register v2'!$B$195+'Commissioning'!K50*'Project Register v2'!$B$225+'Commissioning'!K56*'Project Register v2'!$B$255+'Commissioning'!K62*'Project Register v2'!$B$285</f>
        <v/>
      </c>
      <c r="L14" s="44">
        <f>'Commissioning'!L8*'Project Register v2'!$B$15+'Commissioning'!L14*'Project Register v2'!$B$45+'Commissioning'!L20*'Project Register v2'!$B$75+'Commissioning'!L26*'Project Register v2'!$B$105+'Commissioning'!L32*'Project Register v2'!$B$135+'Commissioning'!L38*'Project Register v2'!$B$165+'Commissioning'!L44*'Project Register v2'!$B$195+'Commissioning'!L50*'Project Register v2'!$B$225+'Commissioning'!L56*'Project Register v2'!$B$255+'Commissioning'!L62*'Project Register v2'!$B$285</f>
        <v/>
      </c>
      <c r="M14" s="44">
        <f>'Commissioning'!M8*'Project Register v2'!$B$15+'Commissioning'!M14*'Project Register v2'!$B$45+'Commissioning'!M20*'Project Register v2'!$B$75+'Commissioning'!M26*'Project Register v2'!$B$105+'Commissioning'!M32*'Project Register v2'!$B$135+'Commissioning'!M38*'Project Register v2'!$B$165+'Commissioning'!M44*'Project Register v2'!$B$195+'Commissioning'!M50*'Project Register v2'!$B$225+'Commissioning'!M56*'Project Register v2'!$B$255+'Commissioning'!M62*'Project Register v2'!$B$285</f>
        <v/>
      </c>
      <c r="N14" s="44">
        <f>'Commissioning'!N8*'Project Register v2'!$B$15+'Commissioning'!N14*'Project Register v2'!$B$45+'Commissioning'!N20*'Project Register v2'!$B$75+'Commissioning'!N26*'Project Register v2'!$B$105+'Commissioning'!N32*'Project Register v2'!$B$135+'Commissioning'!N38*'Project Register v2'!$B$165+'Commissioning'!N44*'Project Register v2'!$B$195+'Commissioning'!N50*'Project Register v2'!$B$225+'Commissioning'!N56*'Project Register v2'!$B$255+'Commissioning'!N62*'Project Register v2'!$B$285</f>
        <v/>
      </c>
      <c r="O14" s="44">
        <f>'Commissioning'!O8*'Project Register v2'!$B$15+'Commissioning'!O14*'Project Register v2'!$B$45+'Commissioning'!O20*'Project Register v2'!$B$75+'Commissioning'!O26*'Project Register v2'!$B$105+'Commissioning'!O32*'Project Register v2'!$B$135+'Commissioning'!O38*'Project Register v2'!$B$165+'Commissioning'!O44*'Project Register v2'!$B$195+'Commissioning'!O50*'Project Register v2'!$B$225+'Commissioning'!O56*'Project Register v2'!$B$255+'Commissioning'!O62*'Project Register v2'!$B$285</f>
        <v/>
      </c>
      <c r="P14" s="44">
        <f>'Commissioning'!P8*'Project Register v2'!$B$15+'Commissioning'!P14*'Project Register v2'!$B$45+'Commissioning'!P20*'Project Register v2'!$B$75+'Commissioning'!P26*'Project Register v2'!$B$105+'Commissioning'!P32*'Project Register v2'!$B$135+'Commissioning'!P38*'Project Register v2'!$B$165+'Commissioning'!P44*'Project Register v2'!$B$195+'Commissioning'!P50*'Project Register v2'!$B$225+'Commissioning'!P56*'Project Register v2'!$B$255+'Commissioning'!P62*'Project Register v2'!$B$285</f>
        <v/>
      </c>
    </row>
    <row r="15">
      <c r="A15" s="17" t="inlineStr">
        <is>
          <t xml:space="preserve">  AC11  Land</t>
        </is>
      </c>
      <c r="B15" s="26" t="n">
        <v>0</v>
      </c>
      <c r="C15" s="26" t="n">
        <v>0</v>
      </c>
      <c r="D15" s="26" t="n">
        <v>0</v>
      </c>
      <c r="E15" s="26" t="n">
        <v>0</v>
      </c>
      <c r="F15" s="26" t="n">
        <v>0</v>
      </c>
      <c r="G15" s="44">
        <f>'Commissioning'!G8*'Project Register v2'!$B$16+'Commissioning'!G14*'Project Register v2'!$B$46+'Commissioning'!G20*'Project Register v2'!$B$76+'Commissioning'!G26*'Project Register v2'!$B$106+'Commissioning'!G32*'Project Register v2'!$B$136+'Commissioning'!G38*'Project Register v2'!$B$166+'Commissioning'!G44*'Project Register v2'!$B$196+'Commissioning'!G50*'Project Register v2'!$B$226+'Commissioning'!G56*'Project Register v2'!$B$256+'Commissioning'!G62*'Project Register v2'!$B$286</f>
        <v/>
      </c>
      <c r="H15" s="44">
        <f>'Commissioning'!H8*'Project Register v2'!$B$16+'Commissioning'!H14*'Project Register v2'!$B$46+'Commissioning'!H20*'Project Register v2'!$B$76+'Commissioning'!H26*'Project Register v2'!$B$106+'Commissioning'!H32*'Project Register v2'!$B$136+'Commissioning'!H38*'Project Register v2'!$B$166+'Commissioning'!H44*'Project Register v2'!$B$196+'Commissioning'!H50*'Project Register v2'!$B$226+'Commissioning'!H56*'Project Register v2'!$B$256+'Commissioning'!H62*'Project Register v2'!$B$286</f>
        <v/>
      </c>
      <c r="I15" s="44">
        <f>'Commissioning'!I8*'Project Register v2'!$B$16+'Commissioning'!I14*'Project Register v2'!$B$46+'Commissioning'!I20*'Project Register v2'!$B$76+'Commissioning'!I26*'Project Register v2'!$B$106+'Commissioning'!I32*'Project Register v2'!$B$136+'Commissioning'!I38*'Project Register v2'!$B$166+'Commissioning'!I44*'Project Register v2'!$B$196+'Commissioning'!I50*'Project Register v2'!$B$226+'Commissioning'!I56*'Project Register v2'!$B$256+'Commissioning'!I62*'Project Register v2'!$B$286</f>
        <v/>
      </c>
      <c r="J15" s="44">
        <f>'Commissioning'!J8*'Project Register v2'!$B$16+'Commissioning'!J14*'Project Register v2'!$B$46+'Commissioning'!J20*'Project Register v2'!$B$76+'Commissioning'!J26*'Project Register v2'!$B$106+'Commissioning'!J32*'Project Register v2'!$B$136+'Commissioning'!J38*'Project Register v2'!$B$166+'Commissioning'!J44*'Project Register v2'!$B$196+'Commissioning'!J50*'Project Register v2'!$B$226+'Commissioning'!J56*'Project Register v2'!$B$256+'Commissioning'!J62*'Project Register v2'!$B$286</f>
        <v/>
      </c>
      <c r="K15" s="44">
        <f>'Commissioning'!K8*'Project Register v2'!$B$16+'Commissioning'!K14*'Project Register v2'!$B$46+'Commissioning'!K20*'Project Register v2'!$B$76+'Commissioning'!K26*'Project Register v2'!$B$106+'Commissioning'!K32*'Project Register v2'!$B$136+'Commissioning'!K38*'Project Register v2'!$B$166+'Commissioning'!K44*'Project Register v2'!$B$196+'Commissioning'!K50*'Project Register v2'!$B$226+'Commissioning'!K56*'Project Register v2'!$B$256+'Commissioning'!K62*'Project Register v2'!$B$286</f>
        <v/>
      </c>
      <c r="L15" s="44">
        <f>'Commissioning'!L8*'Project Register v2'!$B$16+'Commissioning'!L14*'Project Register v2'!$B$46+'Commissioning'!L20*'Project Register v2'!$B$76+'Commissioning'!L26*'Project Register v2'!$B$106+'Commissioning'!L32*'Project Register v2'!$B$136+'Commissioning'!L38*'Project Register v2'!$B$166+'Commissioning'!L44*'Project Register v2'!$B$196+'Commissioning'!L50*'Project Register v2'!$B$226+'Commissioning'!L56*'Project Register v2'!$B$256+'Commissioning'!L62*'Project Register v2'!$B$286</f>
        <v/>
      </c>
      <c r="M15" s="44">
        <f>'Commissioning'!M8*'Project Register v2'!$B$16+'Commissioning'!M14*'Project Register v2'!$B$46+'Commissioning'!M20*'Project Register v2'!$B$76+'Commissioning'!M26*'Project Register v2'!$B$106+'Commissioning'!M32*'Project Register v2'!$B$136+'Commissioning'!M38*'Project Register v2'!$B$166+'Commissioning'!M44*'Project Register v2'!$B$196+'Commissioning'!M50*'Project Register v2'!$B$226+'Commissioning'!M56*'Project Register v2'!$B$256+'Commissioning'!M62*'Project Register v2'!$B$286</f>
        <v/>
      </c>
      <c r="N15" s="44">
        <f>'Commissioning'!N8*'Project Register v2'!$B$16+'Commissioning'!N14*'Project Register v2'!$B$46+'Commissioning'!N20*'Project Register v2'!$B$76+'Commissioning'!N26*'Project Register v2'!$B$106+'Commissioning'!N32*'Project Register v2'!$B$136+'Commissioning'!N38*'Project Register v2'!$B$166+'Commissioning'!N44*'Project Register v2'!$B$196+'Commissioning'!N50*'Project Register v2'!$B$226+'Commissioning'!N56*'Project Register v2'!$B$256+'Commissioning'!N62*'Project Register v2'!$B$286</f>
        <v/>
      </c>
      <c r="O15" s="44">
        <f>'Commissioning'!O8*'Project Register v2'!$B$16+'Commissioning'!O14*'Project Register v2'!$B$46+'Commissioning'!O20*'Project Register v2'!$B$76+'Commissioning'!O26*'Project Register v2'!$B$106+'Commissioning'!O32*'Project Register v2'!$B$136+'Commissioning'!O38*'Project Register v2'!$B$166+'Commissioning'!O44*'Project Register v2'!$B$196+'Commissioning'!O50*'Project Register v2'!$B$226+'Commissioning'!O56*'Project Register v2'!$B$256+'Commissioning'!O62*'Project Register v2'!$B$286</f>
        <v/>
      </c>
      <c r="P15" s="44">
        <f>'Commissioning'!P8*'Project Register v2'!$B$16+'Commissioning'!P14*'Project Register v2'!$B$46+'Commissioning'!P20*'Project Register v2'!$B$76+'Commissioning'!P26*'Project Register v2'!$B$106+'Commissioning'!P32*'Project Register v2'!$B$136+'Commissioning'!P38*'Project Register v2'!$B$166+'Commissioning'!P44*'Project Register v2'!$B$196+'Commissioning'!P50*'Project Register v2'!$B$226+'Commissioning'!P56*'Project Register v2'!$B$256+'Commissioning'!P62*'Project Register v2'!$B$286</f>
        <v/>
      </c>
    </row>
    <row r="16">
      <c r="A16" s="17" t="inlineStr">
        <is>
          <t xml:space="preserve">  AC12  IT Systems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44">
        <f>'Commissioning'!G8*'Project Register v2'!$B$17+'Commissioning'!G14*'Project Register v2'!$B$47+'Commissioning'!G20*'Project Register v2'!$B$77+'Commissioning'!G26*'Project Register v2'!$B$107+'Commissioning'!G32*'Project Register v2'!$B$137+'Commissioning'!G38*'Project Register v2'!$B$167+'Commissioning'!G44*'Project Register v2'!$B$197+'Commissioning'!G50*'Project Register v2'!$B$227+'Commissioning'!G56*'Project Register v2'!$B$257+'Commissioning'!G62*'Project Register v2'!$B$287</f>
        <v/>
      </c>
      <c r="H16" s="44">
        <f>'Commissioning'!H8*'Project Register v2'!$B$17+'Commissioning'!H14*'Project Register v2'!$B$47+'Commissioning'!H20*'Project Register v2'!$B$77+'Commissioning'!H26*'Project Register v2'!$B$107+'Commissioning'!H32*'Project Register v2'!$B$137+'Commissioning'!H38*'Project Register v2'!$B$167+'Commissioning'!H44*'Project Register v2'!$B$197+'Commissioning'!H50*'Project Register v2'!$B$227+'Commissioning'!H56*'Project Register v2'!$B$257+'Commissioning'!H62*'Project Register v2'!$B$287</f>
        <v/>
      </c>
      <c r="I16" s="44">
        <f>'Commissioning'!I8*'Project Register v2'!$B$17+'Commissioning'!I14*'Project Register v2'!$B$47+'Commissioning'!I20*'Project Register v2'!$B$77+'Commissioning'!I26*'Project Register v2'!$B$107+'Commissioning'!I32*'Project Register v2'!$B$137+'Commissioning'!I38*'Project Register v2'!$B$167+'Commissioning'!I44*'Project Register v2'!$B$197+'Commissioning'!I50*'Project Register v2'!$B$227+'Commissioning'!I56*'Project Register v2'!$B$257+'Commissioning'!I62*'Project Register v2'!$B$287</f>
        <v/>
      </c>
      <c r="J16" s="44">
        <f>'Commissioning'!J8*'Project Register v2'!$B$17+'Commissioning'!J14*'Project Register v2'!$B$47+'Commissioning'!J20*'Project Register v2'!$B$77+'Commissioning'!J26*'Project Register v2'!$B$107+'Commissioning'!J32*'Project Register v2'!$B$137+'Commissioning'!J38*'Project Register v2'!$B$167+'Commissioning'!J44*'Project Register v2'!$B$197+'Commissioning'!J50*'Project Register v2'!$B$227+'Commissioning'!J56*'Project Register v2'!$B$257+'Commissioning'!J62*'Project Register v2'!$B$287</f>
        <v/>
      </c>
      <c r="K16" s="44">
        <f>'Commissioning'!K8*'Project Register v2'!$B$17+'Commissioning'!K14*'Project Register v2'!$B$47+'Commissioning'!K20*'Project Register v2'!$B$77+'Commissioning'!K26*'Project Register v2'!$B$107+'Commissioning'!K32*'Project Register v2'!$B$137+'Commissioning'!K38*'Project Register v2'!$B$167+'Commissioning'!K44*'Project Register v2'!$B$197+'Commissioning'!K50*'Project Register v2'!$B$227+'Commissioning'!K56*'Project Register v2'!$B$257+'Commissioning'!K62*'Project Register v2'!$B$287</f>
        <v/>
      </c>
      <c r="L16" s="44">
        <f>'Commissioning'!L8*'Project Register v2'!$B$17+'Commissioning'!L14*'Project Register v2'!$B$47+'Commissioning'!L20*'Project Register v2'!$B$77+'Commissioning'!L26*'Project Register v2'!$B$107+'Commissioning'!L32*'Project Register v2'!$B$137+'Commissioning'!L38*'Project Register v2'!$B$167+'Commissioning'!L44*'Project Register v2'!$B$197+'Commissioning'!L50*'Project Register v2'!$B$227+'Commissioning'!L56*'Project Register v2'!$B$257+'Commissioning'!L62*'Project Register v2'!$B$287</f>
        <v/>
      </c>
      <c r="M16" s="44">
        <f>'Commissioning'!M8*'Project Register v2'!$B$17+'Commissioning'!M14*'Project Register v2'!$B$47+'Commissioning'!M20*'Project Register v2'!$B$77+'Commissioning'!M26*'Project Register v2'!$B$107+'Commissioning'!M32*'Project Register v2'!$B$137+'Commissioning'!M38*'Project Register v2'!$B$167+'Commissioning'!M44*'Project Register v2'!$B$197+'Commissioning'!M50*'Project Register v2'!$B$227+'Commissioning'!M56*'Project Register v2'!$B$257+'Commissioning'!M62*'Project Register v2'!$B$287</f>
        <v/>
      </c>
      <c r="N16" s="44">
        <f>'Commissioning'!N8*'Project Register v2'!$B$17+'Commissioning'!N14*'Project Register v2'!$B$47+'Commissioning'!N20*'Project Register v2'!$B$77+'Commissioning'!N26*'Project Register v2'!$B$107+'Commissioning'!N32*'Project Register v2'!$B$137+'Commissioning'!N38*'Project Register v2'!$B$167+'Commissioning'!N44*'Project Register v2'!$B$197+'Commissioning'!N50*'Project Register v2'!$B$227+'Commissioning'!N56*'Project Register v2'!$B$257+'Commissioning'!N62*'Project Register v2'!$B$287</f>
        <v/>
      </c>
      <c r="O16" s="44">
        <f>'Commissioning'!O8*'Project Register v2'!$B$17+'Commissioning'!O14*'Project Register v2'!$B$47+'Commissioning'!O20*'Project Register v2'!$B$77+'Commissioning'!O26*'Project Register v2'!$B$107+'Commissioning'!O32*'Project Register v2'!$B$137+'Commissioning'!O38*'Project Register v2'!$B$167+'Commissioning'!O44*'Project Register v2'!$B$197+'Commissioning'!O50*'Project Register v2'!$B$227+'Commissioning'!O56*'Project Register v2'!$B$257+'Commissioning'!O62*'Project Register v2'!$B$287</f>
        <v/>
      </c>
      <c r="P16" s="44">
        <f>'Commissioning'!P8*'Project Register v2'!$B$17+'Commissioning'!P14*'Project Register v2'!$B$47+'Commissioning'!P20*'Project Register v2'!$B$77+'Commissioning'!P26*'Project Register v2'!$B$107+'Commissioning'!P32*'Project Register v2'!$B$137+'Commissioning'!P38*'Project Register v2'!$B$167+'Commissioning'!P44*'Project Register v2'!$B$197+'Commissioning'!P50*'Project Register v2'!$B$227+'Commissioning'!P56*'Project Register v2'!$B$257+'Commissioning'!P62*'Project Register v2'!$B$287</f>
        <v/>
      </c>
    </row>
    <row r="17">
      <c r="A17" s="17" t="inlineStr">
        <is>
          <t xml:space="preserve">  AC13  Battery Storage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44">
        <f>'Commissioning'!G8*'Project Register v2'!$B$18+'Commissioning'!G14*'Project Register v2'!$B$48+'Commissioning'!G20*'Project Register v2'!$B$78+'Commissioning'!G26*'Project Register v2'!$B$108+'Commissioning'!G32*'Project Register v2'!$B$138+'Commissioning'!G38*'Project Register v2'!$B$168+'Commissioning'!G44*'Project Register v2'!$B$198+'Commissioning'!G50*'Project Register v2'!$B$228+'Commissioning'!G56*'Project Register v2'!$B$258+'Commissioning'!G62*'Project Register v2'!$B$288</f>
        <v/>
      </c>
      <c r="H17" s="44">
        <f>'Commissioning'!H8*'Project Register v2'!$B$18+'Commissioning'!H14*'Project Register v2'!$B$48+'Commissioning'!H20*'Project Register v2'!$B$78+'Commissioning'!H26*'Project Register v2'!$B$108+'Commissioning'!H32*'Project Register v2'!$B$138+'Commissioning'!H38*'Project Register v2'!$B$168+'Commissioning'!H44*'Project Register v2'!$B$198+'Commissioning'!H50*'Project Register v2'!$B$228+'Commissioning'!H56*'Project Register v2'!$B$258+'Commissioning'!H62*'Project Register v2'!$B$288</f>
        <v/>
      </c>
      <c r="I17" s="44">
        <f>'Commissioning'!I8*'Project Register v2'!$B$18+'Commissioning'!I14*'Project Register v2'!$B$48+'Commissioning'!I20*'Project Register v2'!$B$78+'Commissioning'!I26*'Project Register v2'!$B$108+'Commissioning'!I32*'Project Register v2'!$B$138+'Commissioning'!I38*'Project Register v2'!$B$168+'Commissioning'!I44*'Project Register v2'!$B$198+'Commissioning'!I50*'Project Register v2'!$B$228+'Commissioning'!I56*'Project Register v2'!$B$258+'Commissioning'!I62*'Project Register v2'!$B$288</f>
        <v/>
      </c>
      <c r="J17" s="44">
        <f>'Commissioning'!J8*'Project Register v2'!$B$18+'Commissioning'!J14*'Project Register v2'!$B$48+'Commissioning'!J20*'Project Register v2'!$B$78+'Commissioning'!J26*'Project Register v2'!$B$108+'Commissioning'!J32*'Project Register v2'!$B$138+'Commissioning'!J38*'Project Register v2'!$B$168+'Commissioning'!J44*'Project Register v2'!$B$198+'Commissioning'!J50*'Project Register v2'!$B$228+'Commissioning'!J56*'Project Register v2'!$B$258+'Commissioning'!J62*'Project Register v2'!$B$288</f>
        <v/>
      </c>
      <c r="K17" s="44">
        <f>'Commissioning'!K8*'Project Register v2'!$B$18+'Commissioning'!K14*'Project Register v2'!$B$48+'Commissioning'!K20*'Project Register v2'!$B$78+'Commissioning'!K26*'Project Register v2'!$B$108+'Commissioning'!K32*'Project Register v2'!$B$138+'Commissioning'!K38*'Project Register v2'!$B$168+'Commissioning'!K44*'Project Register v2'!$B$198+'Commissioning'!K50*'Project Register v2'!$B$228+'Commissioning'!K56*'Project Register v2'!$B$258+'Commissioning'!K62*'Project Register v2'!$B$288</f>
        <v/>
      </c>
      <c r="L17" s="44">
        <f>'Commissioning'!L8*'Project Register v2'!$B$18+'Commissioning'!L14*'Project Register v2'!$B$48+'Commissioning'!L20*'Project Register v2'!$B$78+'Commissioning'!L26*'Project Register v2'!$B$108+'Commissioning'!L32*'Project Register v2'!$B$138+'Commissioning'!L38*'Project Register v2'!$B$168+'Commissioning'!L44*'Project Register v2'!$B$198+'Commissioning'!L50*'Project Register v2'!$B$228+'Commissioning'!L56*'Project Register v2'!$B$258+'Commissioning'!L62*'Project Register v2'!$B$288</f>
        <v/>
      </c>
      <c r="M17" s="44">
        <f>'Commissioning'!M8*'Project Register v2'!$B$18+'Commissioning'!M14*'Project Register v2'!$B$48+'Commissioning'!M20*'Project Register v2'!$B$78+'Commissioning'!M26*'Project Register v2'!$B$108+'Commissioning'!M32*'Project Register v2'!$B$138+'Commissioning'!M38*'Project Register v2'!$B$168+'Commissioning'!M44*'Project Register v2'!$B$198+'Commissioning'!M50*'Project Register v2'!$B$228+'Commissioning'!M56*'Project Register v2'!$B$258+'Commissioning'!M62*'Project Register v2'!$B$288</f>
        <v/>
      </c>
      <c r="N17" s="44">
        <f>'Commissioning'!N8*'Project Register v2'!$B$18+'Commissioning'!N14*'Project Register v2'!$B$48+'Commissioning'!N20*'Project Register v2'!$B$78+'Commissioning'!N26*'Project Register v2'!$B$108+'Commissioning'!N32*'Project Register v2'!$B$138+'Commissioning'!N38*'Project Register v2'!$B$168+'Commissioning'!N44*'Project Register v2'!$B$198+'Commissioning'!N50*'Project Register v2'!$B$228+'Commissioning'!N56*'Project Register v2'!$B$258+'Commissioning'!N62*'Project Register v2'!$B$288</f>
        <v/>
      </c>
      <c r="O17" s="44">
        <f>'Commissioning'!O8*'Project Register v2'!$B$18+'Commissioning'!O14*'Project Register v2'!$B$48+'Commissioning'!O20*'Project Register v2'!$B$78+'Commissioning'!O26*'Project Register v2'!$B$108+'Commissioning'!O32*'Project Register v2'!$B$138+'Commissioning'!O38*'Project Register v2'!$B$168+'Commissioning'!O44*'Project Register v2'!$B$198+'Commissioning'!O50*'Project Register v2'!$B$228+'Commissioning'!O56*'Project Register v2'!$B$258+'Commissioning'!O62*'Project Register v2'!$B$288</f>
        <v/>
      </c>
      <c r="P17" s="44">
        <f>'Commissioning'!P8*'Project Register v2'!$B$18+'Commissioning'!P14*'Project Register v2'!$B$48+'Commissioning'!P20*'Project Register v2'!$B$78+'Commissioning'!P26*'Project Register v2'!$B$108+'Commissioning'!P32*'Project Register v2'!$B$138+'Commissioning'!P38*'Project Register v2'!$B$168+'Commissioning'!P44*'Project Register v2'!$B$198+'Commissioning'!P50*'Project Register v2'!$B$228+'Commissioning'!P56*'Project Register v2'!$B$258+'Commissioning'!P62*'Project Register v2'!$B$288</f>
        <v/>
      </c>
    </row>
    <row r="18">
      <c r="A18" s="17" t="inlineStr">
        <is>
          <t xml:space="preserve">  AC14  Renewable Connection Assets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44">
        <f>'Commissioning'!G8*'Project Register v2'!$B$19+'Commissioning'!G14*'Project Register v2'!$B$49+'Commissioning'!G20*'Project Register v2'!$B$79+'Commissioning'!G26*'Project Register v2'!$B$109+'Commissioning'!G32*'Project Register v2'!$B$139+'Commissioning'!G38*'Project Register v2'!$B$169+'Commissioning'!G44*'Project Register v2'!$B$199+'Commissioning'!G50*'Project Register v2'!$B$229+'Commissioning'!G56*'Project Register v2'!$B$259+'Commissioning'!G62*'Project Register v2'!$B$289</f>
        <v/>
      </c>
      <c r="H18" s="44">
        <f>'Commissioning'!H8*'Project Register v2'!$B$19+'Commissioning'!H14*'Project Register v2'!$B$49+'Commissioning'!H20*'Project Register v2'!$B$79+'Commissioning'!H26*'Project Register v2'!$B$109+'Commissioning'!H32*'Project Register v2'!$B$139+'Commissioning'!H38*'Project Register v2'!$B$169+'Commissioning'!H44*'Project Register v2'!$B$199+'Commissioning'!H50*'Project Register v2'!$B$229+'Commissioning'!H56*'Project Register v2'!$B$259+'Commissioning'!H62*'Project Register v2'!$B$289</f>
        <v/>
      </c>
      <c r="I18" s="44">
        <f>'Commissioning'!I8*'Project Register v2'!$B$19+'Commissioning'!I14*'Project Register v2'!$B$49+'Commissioning'!I20*'Project Register v2'!$B$79+'Commissioning'!I26*'Project Register v2'!$B$109+'Commissioning'!I32*'Project Register v2'!$B$139+'Commissioning'!I38*'Project Register v2'!$B$169+'Commissioning'!I44*'Project Register v2'!$B$199+'Commissioning'!I50*'Project Register v2'!$B$229+'Commissioning'!I56*'Project Register v2'!$B$259+'Commissioning'!I62*'Project Register v2'!$B$289</f>
        <v/>
      </c>
      <c r="J18" s="44">
        <f>'Commissioning'!J8*'Project Register v2'!$B$19+'Commissioning'!J14*'Project Register v2'!$B$49+'Commissioning'!J20*'Project Register v2'!$B$79+'Commissioning'!J26*'Project Register v2'!$B$109+'Commissioning'!J32*'Project Register v2'!$B$139+'Commissioning'!J38*'Project Register v2'!$B$169+'Commissioning'!J44*'Project Register v2'!$B$199+'Commissioning'!J50*'Project Register v2'!$B$229+'Commissioning'!J56*'Project Register v2'!$B$259+'Commissioning'!J62*'Project Register v2'!$B$289</f>
        <v/>
      </c>
      <c r="K18" s="44">
        <f>'Commissioning'!K8*'Project Register v2'!$B$19+'Commissioning'!K14*'Project Register v2'!$B$49+'Commissioning'!K20*'Project Register v2'!$B$79+'Commissioning'!K26*'Project Register v2'!$B$109+'Commissioning'!K32*'Project Register v2'!$B$139+'Commissioning'!K38*'Project Register v2'!$B$169+'Commissioning'!K44*'Project Register v2'!$B$199+'Commissioning'!K50*'Project Register v2'!$B$229+'Commissioning'!K56*'Project Register v2'!$B$259+'Commissioning'!K62*'Project Register v2'!$B$289</f>
        <v/>
      </c>
      <c r="L18" s="44">
        <f>'Commissioning'!L8*'Project Register v2'!$B$19+'Commissioning'!L14*'Project Register v2'!$B$49+'Commissioning'!L20*'Project Register v2'!$B$79+'Commissioning'!L26*'Project Register v2'!$B$109+'Commissioning'!L32*'Project Register v2'!$B$139+'Commissioning'!L38*'Project Register v2'!$B$169+'Commissioning'!L44*'Project Register v2'!$B$199+'Commissioning'!L50*'Project Register v2'!$B$229+'Commissioning'!L56*'Project Register v2'!$B$259+'Commissioning'!L62*'Project Register v2'!$B$289</f>
        <v/>
      </c>
      <c r="M18" s="44">
        <f>'Commissioning'!M8*'Project Register v2'!$B$19+'Commissioning'!M14*'Project Register v2'!$B$49+'Commissioning'!M20*'Project Register v2'!$B$79+'Commissioning'!M26*'Project Register v2'!$B$109+'Commissioning'!M32*'Project Register v2'!$B$139+'Commissioning'!M38*'Project Register v2'!$B$169+'Commissioning'!M44*'Project Register v2'!$B$199+'Commissioning'!M50*'Project Register v2'!$B$229+'Commissioning'!M56*'Project Register v2'!$B$259+'Commissioning'!M62*'Project Register v2'!$B$289</f>
        <v/>
      </c>
      <c r="N18" s="44">
        <f>'Commissioning'!N8*'Project Register v2'!$B$19+'Commissioning'!N14*'Project Register v2'!$B$49+'Commissioning'!N20*'Project Register v2'!$B$79+'Commissioning'!N26*'Project Register v2'!$B$109+'Commissioning'!N32*'Project Register v2'!$B$139+'Commissioning'!N38*'Project Register v2'!$B$169+'Commissioning'!N44*'Project Register v2'!$B$199+'Commissioning'!N50*'Project Register v2'!$B$229+'Commissioning'!N56*'Project Register v2'!$B$259+'Commissioning'!N62*'Project Register v2'!$B$289</f>
        <v/>
      </c>
      <c r="O18" s="44">
        <f>'Commissioning'!O8*'Project Register v2'!$B$19+'Commissioning'!O14*'Project Register v2'!$B$49+'Commissioning'!O20*'Project Register v2'!$B$79+'Commissioning'!O26*'Project Register v2'!$B$109+'Commissioning'!O32*'Project Register v2'!$B$139+'Commissioning'!O38*'Project Register v2'!$B$169+'Commissioning'!O44*'Project Register v2'!$B$199+'Commissioning'!O50*'Project Register v2'!$B$229+'Commissioning'!O56*'Project Register v2'!$B$259+'Commissioning'!O62*'Project Register v2'!$B$289</f>
        <v/>
      </c>
      <c r="P18" s="44">
        <f>'Commissioning'!P8*'Project Register v2'!$B$19+'Commissioning'!P14*'Project Register v2'!$B$49+'Commissioning'!P20*'Project Register v2'!$B$79+'Commissioning'!P26*'Project Register v2'!$B$109+'Commissioning'!P32*'Project Register v2'!$B$139+'Commissioning'!P38*'Project Register v2'!$B$169+'Commissioning'!P44*'Project Register v2'!$B$199+'Commissioning'!P50*'Project Register v2'!$B$229+'Commissioning'!P56*'Project Register v2'!$B$259+'Commissioning'!P62*'Project Register v2'!$B$289</f>
        <v/>
      </c>
    </row>
    <row r="19">
      <c r="A19" s="17" t="inlineStr">
        <is>
          <t xml:space="preserve">  AC15  Mobile Plant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44">
        <f>'Commissioning'!G8*'Project Register v2'!$B$20+'Commissioning'!G14*'Project Register v2'!$B$50+'Commissioning'!G20*'Project Register v2'!$B$80+'Commissioning'!G26*'Project Register v2'!$B$110+'Commissioning'!G32*'Project Register v2'!$B$140+'Commissioning'!G38*'Project Register v2'!$B$170+'Commissioning'!G44*'Project Register v2'!$B$200+'Commissioning'!G50*'Project Register v2'!$B$230+'Commissioning'!G56*'Project Register v2'!$B$260+'Commissioning'!G62*'Project Register v2'!$B$290</f>
        <v/>
      </c>
      <c r="H19" s="44">
        <f>'Commissioning'!H8*'Project Register v2'!$B$20+'Commissioning'!H14*'Project Register v2'!$B$50+'Commissioning'!H20*'Project Register v2'!$B$80+'Commissioning'!H26*'Project Register v2'!$B$110+'Commissioning'!H32*'Project Register v2'!$B$140+'Commissioning'!H38*'Project Register v2'!$B$170+'Commissioning'!H44*'Project Register v2'!$B$200+'Commissioning'!H50*'Project Register v2'!$B$230+'Commissioning'!H56*'Project Register v2'!$B$260+'Commissioning'!H62*'Project Register v2'!$B$290</f>
        <v/>
      </c>
      <c r="I19" s="44">
        <f>'Commissioning'!I8*'Project Register v2'!$B$20+'Commissioning'!I14*'Project Register v2'!$B$50+'Commissioning'!I20*'Project Register v2'!$B$80+'Commissioning'!I26*'Project Register v2'!$B$110+'Commissioning'!I32*'Project Register v2'!$B$140+'Commissioning'!I38*'Project Register v2'!$B$170+'Commissioning'!I44*'Project Register v2'!$B$200+'Commissioning'!I50*'Project Register v2'!$B$230+'Commissioning'!I56*'Project Register v2'!$B$260+'Commissioning'!I62*'Project Register v2'!$B$290</f>
        <v/>
      </c>
      <c r="J19" s="44">
        <f>'Commissioning'!J8*'Project Register v2'!$B$20+'Commissioning'!J14*'Project Register v2'!$B$50+'Commissioning'!J20*'Project Register v2'!$B$80+'Commissioning'!J26*'Project Register v2'!$B$110+'Commissioning'!J32*'Project Register v2'!$B$140+'Commissioning'!J38*'Project Register v2'!$B$170+'Commissioning'!J44*'Project Register v2'!$B$200+'Commissioning'!J50*'Project Register v2'!$B$230+'Commissioning'!J56*'Project Register v2'!$B$260+'Commissioning'!J62*'Project Register v2'!$B$290</f>
        <v/>
      </c>
      <c r="K19" s="44">
        <f>'Commissioning'!K8*'Project Register v2'!$B$20+'Commissioning'!K14*'Project Register v2'!$B$50+'Commissioning'!K20*'Project Register v2'!$B$80+'Commissioning'!K26*'Project Register v2'!$B$110+'Commissioning'!K32*'Project Register v2'!$B$140+'Commissioning'!K38*'Project Register v2'!$B$170+'Commissioning'!K44*'Project Register v2'!$B$200+'Commissioning'!K50*'Project Register v2'!$B$230+'Commissioning'!K56*'Project Register v2'!$B$260+'Commissioning'!K62*'Project Register v2'!$B$290</f>
        <v/>
      </c>
      <c r="L19" s="44">
        <f>'Commissioning'!L8*'Project Register v2'!$B$20+'Commissioning'!L14*'Project Register v2'!$B$50+'Commissioning'!L20*'Project Register v2'!$B$80+'Commissioning'!L26*'Project Register v2'!$B$110+'Commissioning'!L32*'Project Register v2'!$B$140+'Commissioning'!L38*'Project Register v2'!$B$170+'Commissioning'!L44*'Project Register v2'!$B$200+'Commissioning'!L50*'Project Register v2'!$B$230+'Commissioning'!L56*'Project Register v2'!$B$260+'Commissioning'!L62*'Project Register v2'!$B$290</f>
        <v/>
      </c>
      <c r="M19" s="44">
        <f>'Commissioning'!M8*'Project Register v2'!$B$20+'Commissioning'!M14*'Project Register v2'!$B$50+'Commissioning'!M20*'Project Register v2'!$B$80+'Commissioning'!M26*'Project Register v2'!$B$110+'Commissioning'!M32*'Project Register v2'!$B$140+'Commissioning'!M38*'Project Register v2'!$B$170+'Commissioning'!M44*'Project Register v2'!$B$200+'Commissioning'!M50*'Project Register v2'!$B$230+'Commissioning'!M56*'Project Register v2'!$B$260+'Commissioning'!M62*'Project Register v2'!$B$290</f>
        <v/>
      </c>
      <c r="N19" s="44">
        <f>'Commissioning'!N8*'Project Register v2'!$B$20+'Commissioning'!N14*'Project Register v2'!$B$50+'Commissioning'!N20*'Project Register v2'!$B$80+'Commissioning'!N26*'Project Register v2'!$B$110+'Commissioning'!N32*'Project Register v2'!$B$140+'Commissioning'!N38*'Project Register v2'!$B$170+'Commissioning'!N44*'Project Register v2'!$B$200+'Commissioning'!N50*'Project Register v2'!$B$230+'Commissioning'!N56*'Project Register v2'!$B$260+'Commissioning'!N62*'Project Register v2'!$B$290</f>
        <v/>
      </c>
      <c r="O19" s="44">
        <f>'Commissioning'!O8*'Project Register v2'!$B$20+'Commissioning'!O14*'Project Register v2'!$B$50+'Commissioning'!O20*'Project Register v2'!$B$80+'Commissioning'!O26*'Project Register v2'!$B$110+'Commissioning'!O32*'Project Register v2'!$B$140+'Commissioning'!O38*'Project Register v2'!$B$170+'Commissioning'!O44*'Project Register v2'!$B$200+'Commissioning'!O50*'Project Register v2'!$B$230+'Commissioning'!O56*'Project Register v2'!$B$260+'Commissioning'!O62*'Project Register v2'!$B$290</f>
        <v/>
      </c>
      <c r="P19" s="44">
        <f>'Commissioning'!P8*'Project Register v2'!$B$20+'Commissioning'!P14*'Project Register v2'!$B$50+'Commissioning'!P20*'Project Register v2'!$B$80+'Commissioning'!P26*'Project Register v2'!$B$110+'Commissioning'!P32*'Project Register v2'!$B$140+'Commissioning'!P38*'Project Register v2'!$B$170+'Commissioning'!P44*'Project Register v2'!$B$200+'Commissioning'!P50*'Project Register v2'!$B$230+'Commissioning'!P56*'Project Register v2'!$B$260+'Commissioning'!P62*'Project Register v2'!$B$290</f>
        <v/>
      </c>
    </row>
    <row r="20">
      <c r="A20" s="17" t="inlineStr">
        <is>
          <t xml:space="preserve">  AC16  Placeholder AC16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44">
        <f>'Commissioning'!G8*'Project Register v2'!$B$21+'Commissioning'!G14*'Project Register v2'!$B$51+'Commissioning'!G20*'Project Register v2'!$B$81+'Commissioning'!G26*'Project Register v2'!$B$111+'Commissioning'!G32*'Project Register v2'!$B$141+'Commissioning'!G38*'Project Register v2'!$B$171+'Commissioning'!G44*'Project Register v2'!$B$201+'Commissioning'!G50*'Project Register v2'!$B$231+'Commissioning'!G56*'Project Register v2'!$B$261+'Commissioning'!G62*'Project Register v2'!$B$291</f>
        <v/>
      </c>
      <c r="H20" s="44">
        <f>'Commissioning'!H8*'Project Register v2'!$B$21+'Commissioning'!H14*'Project Register v2'!$B$51+'Commissioning'!H20*'Project Register v2'!$B$81+'Commissioning'!H26*'Project Register v2'!$B$111+'Commissioning'!H32*'Project Register v2'!$B$141+'Commissioning'!H38*'Project Register v2'!$B$171+'Commissioning'!H44*'Project Register v2'!$B$201+'Commissioning'!H50*'Project Register v2'!$B$231+'Commissioning'!H56*'Project Register v2'!$B$261+'Commissioning'!H62*'Project Register v2'!$B$291</f>
        <v/>
      </c>
      <c r="I20" s="44">
        <f>'Commissioning'!I8*'Project Register v2'!$B$21+'Commissioning'!I14*'Project Register v2'!$B$51+'Commissioning'!I20*'Project Register v2'!$B$81+'Commissioning'!I26*'Project Register v2'!$B$111+'Commissioning'!I32*'Project Register v2'!$B$141+'Commissioning'!I38*'Project Register v2'!$B$171+'Commissioning'!I44*'Project Register v2'!$B$201+'Commissioning'!I50*'Project Register v2'!$B$231+'Commissioning'!I56*'Project Register v2'!$B$261+'Commissioning'!I62*'Project Register v2'!$B$291</f>
        <v/>
      </c>
      <c r="J20" s="44">
        <f>'Commissioning'!J8*'Project Register v2'!$B$21+'Commissioning'!J14*'Project Register v2'!$B$51+'Commissioning'!J20*'Project Register v2'!$B$81+'Commissioning'!J26*'Project Register v2'!$B$111+'Commissioning'!J32*'Project Register v2'!$B$141+'Commissioning'!J38*'Project Register v2'!$B$171+'Commissioning'!J44*'Project Register v2'!$B$201+'Commissioning'!J50*'Project Register v2'!$B$231+'Commissioning'!J56*'Project Register v2'!$B$261+'Commissioning'!J62*'Project Register v2'!$B$291</f>
        <v/>
      </c>
      <c r="K20" s="44">
        <f>'Commissioning'!K8*'Project Register v2'!$B$21+'Commissioning'!K14*'Project Register v2'!$B$51+'Commissioning'!K20*'Project Register v2'!$B$81+'Commissioning'!K26*'Project Register v2'!$B$111+'Commissioning'!K32*'Project Register v2'!$B$141+'Commissioning'!K38*'Project Register v2'!$B$171+'Commissioning'!K44*'Project Register v2'!$B$201+'Commissioning'!K50*'Project Register v2'!$B$231+'Commissioning'!K56*'Project Register v2'!$B$261+'Commissioning'!K62*'Project Register v2'!$B$291</f>
        <v/>
      </c>
      <c r="L20" s="44">
        <f>'Commissioning'!L8*'Project Register v2'!$B$21+'Commissioning'!L14*'Project Register v2'!$B$51+'Commissioning'!L20*'Project Register v2'!$B$81+'Commissioning'!L26*'Project Register v2'!$B$111+'Commissioning'!L32*'Project Register v2'!$B$141+'Commissioning'!L38*'Project Register v2'!$B$171+'Commissioning'!L44*'Project Register v2'!$B$201+'Commissioning'!L50*'Project Register v2'!$B$231+'Commissioning'!L56*'Project Register v2'!$B$261+'Commissioning'!L62*'Project Register v2'!$B$291</f>
        <v/>
      </c>
      <c r="M20" s="44">
        <f>'Commissioning'!M8*'Project Register v2'!$B$21+'Commissioning'!M14*'Project Register v2'!$B$51+'Commissioning'!M20*'Project Register v2'!$B$81+'Commissioning'!M26*'Project Register v2'!$B$111+'Commissioning'!M32*'Project Register v2'!$B$141+'Commissioning'!M38*'Project Register v2'!$B$171+'Commissioning'!M44*'Project Register v2'!$B$201+'Commissioning'!M50*'Project Register v2'!$B$231+'Commissioning'!M56*'Project Register v2'!$B$261+'Commissioning'!M62*'Project Register v2'!$B$291</f>
        <v/>
      </c>
      <c r="N20" s="44">
        <f>'Commissioning'!N8*'Project Register v2'!$B$21+'Commissioning'!N14*'Project Register v2'!$B$51+'Commissioning'!N20*'Project Register v2'!$B$81+'Commissioning'!N26*'Project Register v2'!$B$111+'Commissioning'!N32*'Project Register v2'!$B$141+'Commissioning'!N38*'Project Register v2'!$B$171+'Commissioning'!N44*'Project Register v2'!$B$201+'Commissioning'!N50*'Project Register v2'!$B$231+'Commissioning'!N56*'Project Register v2'!$B$261+'Commissioning'!N62*'Project Register v2'!$B$291</f>
        <v/>
      </c>
      <c r="O20" s="44">
        <f>'Commissioning'!O8*'Project Register v2'!$B$21+'Commissioning'!O14*'Project Register v2'!$B$51+'Commissioning'!O20*'Project Register v2'!$B$81+'Commissioning'!O26*'Project Register v2'!$B$111+'Commissioning'!O32*'Project Register v2'!$B$141+'Commissioning'!O38*'Project Register v2'!$B$171+'Commissioning'!O44*'Project Register v2'!$B$201+'Commissioning'!O50*'Project Register v2'!$B$231+'Commissioning'!O56*'Project Register v2'!$B$261+'Commissioning'!O62*'Project Register v2'!$B$291</f>
        <v/>
      </c>
      <c r="P20" s="44">
        <f>'Commissioning'!P8*'Project Register v2'!$B$21+'Commissioning'!P14*'Project Register v2'!$B$51+'Commissioning'!P20*'Project Register v2'!$B$81+'Commissioning'!P26*'Project Register v2'!$B$111+'Commissioning'!P32*'Project Register v2'!$B$141+'Commissioning'!P38*'Project Register v2'!$B$171+'Commissioning'!P44*'Project Register v2'!$B$201+'Commissioning'!P50*'Project Register v2'!$B$231+'Commissioning'!P56*'Project Register v2'!$B$261+'Commissioning'!P62*'Project Register v2'!$B$291</f>
        <v/>
      </c>
    </row>
    <row r="21">
      <c r="A21" s="17" t="inlineStr">
        <is>
          <t xml:space="preserve">  AC17  Placeholder AC17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44">
        <f>'Commissioning'!G8*'Project Register v2'!$B$22+'Commissioning'!G14*'Project Register v2'!$B$52+'Commissioning'!G20*'Project Register v2'!$B$82+'Commissioning'!G26*'Project Register v2'!$B$112+'Commissioning'!G32*'Project Register v2'!$B$142+'Commissioning'!G38*'Project Register v2'!$B$172+'Commissioning'!G44*'Project Register v2'!$B$202+'Commissioning'!G50*'Project Register v2'!$B$232+'Commissioning'!G56*'Project Register v2'!$B$262+'Commissioning'!G62*'Project Register v2'!$B$292</f>
        <v/>
      </c>
      <c r="H21" s="44">
        <f>'Commissioning'!H8*'Project Register v2'!$B$22+'Commissioning'!H14*'Project Register v2'!$B$52+'Commissioning'!H20*'Project Register v2'!$B$82+'Commissioning'!H26*'Project Register v2'!$B$112+'Commissioning'!H32*'Project Register v2'!$B$142+'Commissioning'!H38*'Project Register v2'!$B$172+'Commissioning'!H44*'Project Register v2'!$B$202+'Commissioning'!H50*'Project Register v2'!$B$232+'Commissioning'!H56*'Project Register v2'!$B$262+'Commissioning'!H62*'Project Register v2'!$B$292</f>
        <v/>
      </c>
      <c r="I21" s="44">
        <f>'Commissioning'!I8*'Project Register v2'!$B$22+'Commissioning'!I14*'Project Register v2'!$B$52+'Commissioning'!I20*'Project Register v2'!$B$82+'Commissioning'!I26*'Project Register v2'!$B$112+'Commissioning'!I32*'Project Register v2'!$B$142+'Commissioning'!I38*'Project Register v2'!$B$172+'Commissioning'!I44*'Project Register v2'!$B$202+'Commissioning'!I50*'Project Register v2'!$B$232+'Commissioning'!I56*'Project Register v2'!$B$262+'Commissioning'!I62*'Project Register v2'!$B$292</f>
        <v/>
      </c>
      <c r="J21" s="44">
        <f>'Commissioning'!J8*'Project Register v2'!$B$22+'Commissioning'!J14*'Project Register v2'!$B$52+'Commissioning'!J20*'Project Register v2'!$B$82+'Commissioning'!J26*'Project Register v2'!$B$112+'Commissioning'!J32*'Project Register v2'!$B$142+'Commissioning'!J38*'Project Register v2'!$B$172+'Commissioning'!J44*'Project Register v2'!$B$202+'Commissioning'!J50*'Project Register v2'!$B$232+'Commissioning'!J56*'Project Register v2'!$B$262+'Commissioning'!J62*'Project Register v2'!$B$292</f>
        <v/>
      </c>
      <c r="K21" s="44">
        <f>'Commissioning'!K8*'Project Register v2'!$B$22+'Commissioning'!K14*'Project Register v2'!$B$52+'Commissioning'!K20*'Project Register v2'!$B$82+'Commissioning'!K26*'Project Register v2'!$B$112+'Commissioning'!K32*'Project Register v2'!$B$142+'Commissioning'!K38*'Project Register v2'!$B$172+'Commissioning'!K44*'Project Register v2'!$B$202+'Commissioning'!K50*'Project Register v2'!$B$232+'Commissioning'!K56*'Project Register v2'!$B$262+'Commissioning'!K62*'Project Register v2'!$B$292</f>
        <v/>
      </c>
      <c r="L21" s="44">
        <f>'Commissioning'!L8*'Project Register v2'!$B$22+'Commissioning'!L14*'Project Register v2'!$B$52+'Commissioning'!L20*'Project Register v2'!$B$82+'Commissioning'!L26*'Project Register v2'!$B$112+'Commissioning'!L32*'Project Register v2'!$B$142+'Commissioning'!L38*'Project Register v2'!$B$172+'Commissioning'!L44*'Project Register v2'!$B$202+'Commissioning'!L50*'Project Register v2'!$B$232+'Commissioning'!L56*'Project Register v2'!$B$262+'Commissioning'!L62*'Project Register v2'!$B$292</f>
        <v/>
      </c>
      <c r="M21" s="44">
        <f>'Commissioning'!M8*'Project Register v2'!$B$22+'Commissioning'!M14*'Project Register v2'!$B$52+'Commissioning'!M20*'Project Register v2'!$B$82+'Commissioning'!M26*'Project Register v2'!$B$112+'Commissioning'!M32*'Project Register v2'!$B$142+'Commissioning'!M38*'Project Register v2'!$B$172+'Commissioning'!M44*'Project Register v2'!$B$202+'Commissioning'!M50*'Project Register v2'!$B$232+'Commissioning'!M56*'Project Register v2'!$B$262+'Commissioning'!M62*'Project Register v2'!$B$292</f>
        <v/>
      </c>
      <c r="N21" s="44">
        <f>'Commissioning'!N8*'Project Register v2'!$B$22+'Commissioning'!N14*'Project Register v2'!$B$52+'Commissioning'!N20*'Project Register v2'!$B$82+'Commissioning'!N26*'Project Register v2'!$B$112+'Commissioning'!N32*'Project Register v2'!$B$142+'Commissioning'!N38*'Project Register v2'!$B$172+'Commissioning'!N44*'Project Register v2'!$B$202+'Commissioning'!N50*'Project Register v2'!$B$232+'Commissioning'!N56*'Project Register v2'!$B$262+'Commissioning'!N62*'Project Register v2'!$B$292</f>
        <v/>
      </c>
      <c r="O21" s="44">
        <f>'Commissioning'!O8*'Project Register v2'!$B$22+'Commissioning'!O14*'Project Register v2'!$B$52+'Commissioning'!O20*'Project Register v2'!$B$82+'Commissioning'!O26*'Project Register v2'!$B$112+'Commissioning'!O32*'Project Register v2'!$B$142+'Commissioning'!O38*'Project Register v2'!$B$172+'Commissioning'!O44*'Project Register v2'!$B$202+'Commissioning'!O50*'Project Register v2'!$B$232+'Commissioning'!O56*'Project Register v2'!$B$262+'Commissioning'!O62*'Project Register v2'!$B$292</f>
        <v/>
      </c>
      <c r="P21" s="44">
        <f>'Commissioning'!P8*'Project Register v2'!$B$22+'Commissioning'!P14*'Project Register v2'!$B$52+'Commissioning'!P20*'Project Register v2'!$B$82+'Commissioning'!P26*'Project Register v2'!$B$112+'Commissioning'!P32*'Project Register v2'!$B$142+'Commissioning'!P38*'Project Register v2'!$B$172+'Commissioning'!P44*'Project Register v2'!$B$202+'Commissioning'!P50*'Project Register v2'!$B$232+'Commissioning'!P56*'Project Register v2'!$B$262+'Commissioning'!P62*'Project Register v2'!$B$292</f>
        <v/>
      </c>
    </row>
    <row r="22">
      <c r="A22" s="17" t="inlineStr">
        <is>
          <t xml:space="preserve">  AC18  Placeholder AC18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44">
        <f>'Commissioning'!G8*'Project Register v2'!$B$23+'Commissioning'!G14*'Project Register v2'!$B$53+'Commissioning'!G20*'Project Register v2'!$B$83+'Commissioning'!G26*'Project Register v2'!$B$113+'Commissioning'!G32*'Project Register v2'!$B$143+'Commissioning'!G38*'Project Register v2'!$B$173+'Commissioning'!G44*'Project Register v2'!$B$203+'Commissioning'!G50*'Project Register v2'!$B$233+'Commissioning'!G56*'Project Register v2'!$B$263+'Commissioning'!G62*'Project Register v2'!$B$293</f>
        <v/>
      </c>
      <c r="H22" s="44">
        <f>'Commissioning'!H8*'Project Register v2'!$B$23+'Commissioning'!H14*'Project Register v2'!$B$53+'Commissioning'!H20*'Project Register v2'!$B$83+'Commissioning'!H26*'Project Register v2'!$B$113+'Commissioning'!H32*'Project Register v2'!$B$143+'Commissioning'!H38*'Project Register v2'!$B$173+'Commissioning'!H44*'Project Register v2'!$B$203+'Commissioning'!H50*'Project Register v2'!$B$233+'Commissioning'!H56*'Project Register v2'!$B$263+'Commissioning'!H62*'Project Register v2'!$B$293</f>
        <v/>
      </c>
      <c r="I22" s="44">
        <f>'Commissioning'!I8*'Project Register v2'!$B$23+'Commissioning'!I14*'Project Register v2'!$B$53+'Commissioning'!I20*'Project Register v2'!$B$83+'Commissioning'!I26*'Project Register v2'!$B$113+'Commissioning'!I32*'Project Register v2'!$B$143+'Commissioning'!I38*'Project Register v2'!$B$173+'Commissioning'!I44*'Project Register v2'!$B$203+'Commissioning'!I50*'Project Register v2'!$B$233+'Commissioning'!I56*'Project Register v2'!$B$263+'Commissioning'!I62*'Project Register v2'!$B$293</f>
        <v/>
      </c>
      <c r="J22" s="44">
        <f>'Commissioning'!J8*'Project Register v2'!$B$23+'Commissioning'!J14*'Project Register v2'!$B$53+'Commissioning'!J20*'Project Register v2'!$B$83+'Commissioning'!J26*'Project Register v2'!$B$113+'Commissioning'!J32*'Project Register v2'!$B$143+'Commissioning'!J38*'Project Register v2'!$B$173+'Commissioning'!J44*'Project Register v2'!$B$203+'Commissioning'!J50*'Project Register v2'!$B$233+'Commissioning'!J56*'Project Register v2'!$B$263+'Commissioning'!J62*'Project Register v2'!$B$293</f>
        <v/>
      </c>
      <c r="K22" s="44">
        <f>'Commissioning'!K8*'Project Register v2'!$B$23+'Commissioning'!K14*'Project Register v2'!$B$53+'Commissioning'!K20*'Project Register v2'!$B$83+'Commissioning'!K26*'Project Register v2'!$B$113+'Commissioning'!K32*'Project Register v2'!$B$143+'Commissioning'!K38*'Project Register v2'!$B$173+'Commissioning'!K44*'Project Register v2'!$B$203+'Commissioning'!K50*'Project Register v2'!$B$233+'Commissioning'!K56*'Project Register v2'!$B$263+'Commissioning'!K62*'Project Register v2'!$B$293</f>
        <v/>
      </c>
      <c r="L22" s="44">
        <f>'Commissioning'!L8*'Project Register v2'!$B$23+'Commissioning'!L14*'Project Register v2'!$B$53+'Commissioning'!L20*'Project Register v2'!$B$83+'Commissioning'!L26*'Project Register v2'!$B$113+'Commissioning'!L32*'Project Register v2'!$B$143+'Commissioning'!L38*'Project Register v2'!$B$173+'Commissioning'!L44*'Project Register v2'!$B$203+'Commissioning'!L50*'Project Register v2'!$B$233+'Commissioning'!L56*'Project Register v2'!$B$263+'Commissioning'!L62*'Project Register v2'!$B$293</f>
        <v/>
      </c>
      <c r="M22" s="44">
        <f>'Commissioning'!M8*'Project Register v2'!$B$23+'Commissioning'!M14*'Project Register v2'!$B$53+'Commissioning'!M20*'Project Register v2'!$B$83+'Commissioning'!M26*'Project Register v2'!$B$113+'Commissioning'!M32*'Project Register v2'!$B$143+'Commissioning'!M38*'Project Register v2'!$B$173+'Commissioning'!M44*'Project Register v2'!$B$203+'Commissioning'!M50*'Project Register v2'!$B$233+'Commissioning'!M56*'Project Register v2'!$B$263+'Commissioning'!M62*'Project Register v2'!$B$293</f>
        <v/>
      </c>
      <c r="N22" s="44">
        <f>'Commissioning'!N8*'Project Register v2'!$B$23+'Commissioning'!N14*'Project Register v2'!$B$53+'Commissioning'!N20*'Project Register v2'!$B$83+'Commissioning'!N26*'Project Register v2'!$B$113+'Commissioning'!N32*'Project Register v2'!$B$143+'Commissioning'!N38*'Project Register v2'!$B$173+'Commissioning'!N44*'Project Register v2'!$B$203+'Commissioning'!N50*'Project Register v2'!$B$233+'Commissioning'!N56*'Project Register v2'!$B$263+'Commissioning'!N62*'Project Register v2'!$B$293</f>
        <v/>
      </c>
      <c r="O22" s="44">
        <f>'Commissioning'!O8*'Project Register v2'!$B$23+'Commissioning'!O14*'Project Register v2'!$B$53+'Commissioning'!O20*'Project Register v2'!$B$83+'Commissioning'!O26*'Project Register v2'!$B$113+'Commissioning'!O32*'Project Register v2'!$B$143+'Commissioning'!O38*'Project Register v2'!$B$173+'Commissioning'!O44*'Project Register v2'!$B$203+'Commissioning'!O50*'Project Register v2'!$B$233+'Commissioning'!O56*'Project Register v2'!$B$263+'Commissioning'!O62*'Project Register v2'!$B$293</f>
        <v/>
      </c>
      <c r="P22" s="44">
        <f>'Commissioning'!P8*'Project Register v2'!$B$23+'Commissioning'!P14*'Project Register v2'!$B$53+'Commissioning'!P20*'Project Register v2'!$B$83+'Commissioning'!P26*'Project Register v2'!$B$113+'Commissioning'!P32*'Project Register v2'!$B$143+'Commissioning'!P38*'Project Register v2'!$B$173+'Commissioning'!P44*'Project Register v2'!$B$203+'Commissioning'!P50*'Project Register v2'!$B$233+'Commissioning'!P56*'Project Register v2'!$B$263+'Commissioning'!P62*'Project Register v2'!$B$293</f>
        <v/>
      </c>
    </row>
    <row r="23">
      <c r="A23" s="17" t="inlineStr">
        <is>
          <t xml:space="preserve">  AC19  Placeholder AC19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44">
        <f>'Commissioning'!G8*'Project Register v2'!$B$24+'Commissioning'!G14*'Project Register v2'!$B$54+'Commissioning'!G20*'Project Register v2'!$B$84+'Commissioning'!G26*'Project Register v2'!$B$114+'Commissioning'!G32*'Project Register v2'!$B$144+'Commissioning'!G38*'Project Register v2'!$B$174+'Commissioning'!G44*'Project Register v2'!$B$204+'Commissioning'!G50*'Project Register v2'!$B$234+'Commissioning'!G56*'Project Register v2'!$B$264+'Commissioning'!G62*'Project Register v2'!$B$294</f>
        <v/>
      </c>
      <c r="H23" s="44">
        <f>'Commissioning'!H8*'Project Register v2'!$B$24+'Commissioning'!H14*'Project Register v2'!$B$54+'Commissioning'!H20*'Project Register v2'!$B$84+'Commissioning'!H26*'Project Register v2'!$B$114+'Commissioning'!H32*'Project Register v2'!$B$144+'Commissioning'!H38*'Project Register v2'!$B$174+'Commissioning'!H44*'Project Register v2'!$B$204+'Commissioning'!H50*'Project Register v2'!$B$234+'Commissioning'!H56*'Project Register v2'!$B$264+'Commissioning'!H62*'Project Register v2'!$B$294</f>
        <v/>
      </c>
      <c r="I23" s="44">
        <f>'Commissioning'!I8*'Project Register v2'!$B$24+'Commissioning'!I14*'Project Register v2'!$B$54+'Commissioning'!I20*'Project Register v2'!$B$84+'Commissioning'!I26*'Project Register v2'!$B$114+'Commissioning'!I32*'Project Register v2'!$B$144+'Commissioning'!I38*'Project Register v2'!$B$174+'Commissioning'!I44*'Project Register v2'!$B$204+'Commissioning'!I50*'Project Register v2'!$B$234+'Commissioning'!I56*'Project Register v2'!$B$264+'Commissioning'!I62*'Project Register v2'!$B$294</f>
        <v/>
      </c>
      <c r="J23" s="44">
        <f>'Commissioning'!J8*'Project Register v2'!$B$24+'Commissioning'!J14*'Project Register v2'!$B$54+'Commissioning'!J20*'Project Register v2'!$B$84+'Commissioning'!J26*'Project Register v2'!$B$114+'Commissioning'!J32*'Project Register v2'!$B$144+'Commissioning'!J38*'Project Register v2'!$B$174+'Commissioning'!J44*'Project Register v2'!$B$204+'Commissioning'!J50*'Project Register v2'!$B$234+'Commissioning'!J56*'Project Register v2'!$B$264+'Commissioning'!J62*'Project Register v2'!$B$294</f>
        <v/>
      </c>
      <c r="K23" s="44">
        <f>'Commissioning'!K8*'Project Register v2'!$B$24+'Commissioning'!K14*'Project Register v2'!$B$54+'Commissioning'!K20*'Project Register v2'!$B$84+'Commissioning'!K26*'Project Register v2'!$B$114+'Commissioning'!K32*'Project Register v2'!$B$144+'Commissioning'!K38*'Project Register v2'!$B$174+'Commissioning'!K44*'Project Register v2'!$B$204+'Commissioning'!K50*'Project Register v2'!$B$234+'Commissioning'!K56*'Project Register v2'!$B$264+'Commissioning'!K62*'Project Register v2'!$B$294</f>
        <v/>
      </c>
      <c r="L23" s="44">
        <f>'Commissioning'!L8*'Project Register v2'!$B$24+'Commissioning'!L14*'Project Register v2'!$B$54+'Commissioning'!L20*'Project Register v2'!$B$84+'Commissioning'!L26*'Project Register v2'!$B$114+'Commissioning'!L32*'Project Register v2'!$B$144+'Commissioning'!L38*'Project Register v2'!$B$174+'Commissioning'!L44*'Project Register v2'!$B$204+'Commissioning'!L50*'Project Register v2'!$B$234+'Commissioning'!L56*'Project Register v2'!$B$264+'Commissioning'!L62*'Project Register v2'!$B$294</f>
        <v/>
      </c>
      <c r="M23" s="44">
        <f>'Commissioning'!M8*'Project Register v2'!$B$24+'Commissioning'!M14*'Project Register v2'!$B$54+'Commissioning'!M20*'Project Register v2'!$B$84+'Commissioning'!M26*'Project Register v2'!$B$114+'Commissioning'!M32*'Project Register v2'!$B$144+'Commissioning'!M38*'Project Register v2'!$B$174+'Commissioning'!M44*'Project Register v2'!$B$204+'Commissioning'!M50*'Project Register v2'!$B$234+'Commissioning'!M56*'Project Register v2'!$B$264+'Commissioning'!M62*'Project Register v2'!$B$294</f>
        <v/>
      </c>
      <c r="N23" s="44">
        <f>'Commissioning'!N8*'Project Register v2'!$B$24+'Commissioning'!N14*'Project Register v2'!$B$54+'Commissioning'!N20*'Project Register v2'!$B$84+'Commissioning'!N26*'Project Register v2'!$B$114+'Commissioning'!N32*'Project Register v2'!$B$144+'Commissioning'!N38*'Project Register v2'!$B$174+'Commissioning'!N44*'Project Register v2'!$B$204+'Commissioning'!N50*'Project Register v2'!$B$234+'Commissioning'!N56*'Project Register v2'!$B$264+'Commissioning'!N62*'Project Register v2'!$B$294</f>
        <v/>
      </c>
      <c r="O23" s="44">
        <f>'Commissioning'!O8*'Project Register v2'!$B$24+'Commissioning'!O14*'Project Register v2'!$B$54+'Commissioning'!O20*'Project Register v2'!$B$84+'Commissioning'!O26*'Project Register v2'!$B$114+'Commissioning'!O32*'Project Register v2'!$B$144+'Commissioning'!O38*'Project Register v2'!$B$174+'Commissioning'!O44*'Project Register v2'!$B$204+'Commissioning'!O50*'Project Register v2'!$B$234+'Commissioning'!O56*'Project Register v2'!$B$264+'Commissioning'!O62*'Project Register v2'!$B$294</f>
        <v/>
      </c>
      <c r="P23" s="44">
        <f>'Commissioning'!P8*'Project Register v2'!$B$24+'Commissioning'!P14*'Project Register v2'!$B$54+'Commissioning'!P20*'Project Register v2'!$B$84+'Commissioning'!P26*'Project Register v2'!$B$114+'Commissioning'!P32*'Project Register v2'!$B$144+'Commissioning'!P38*'Project Register v2'!$B$174+'Commissioning'!P44*'Project Register v2'!$B$204+'Commissioning'!P50*'Project Register v2'!$B$234+'Commissioning'!P56*'Project Register v2'!$B$264+'Commissioning'!P62*'Project Register v2'!$B$294</f>
        <v/>
      </c>
    </row>
    <row r="24">
      <c r="A24" s="17" t="inlineStr">
        <is>
          <t xml:space="preserve">  AC20  Placeholder AC20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44">
        <f>'Commissioning'!G8*'Project Register v2'!$B$25+'Commissioning'!G14*'Project Register v2'!$B$55+'Commissioning'!G20*'Project Register v2'!$B$85+'Commissioning'!G26*'Project Register v2'!$B$115+'Commissioning'!G32*'Project Register v2'!$B$145+'Commissioning'!G38*'Project Register v2'!$B$175+'Commissioning'!G44*'Project Register v2'!$B$205+'Commissioning'!G50*'Project Register v2'!$B$235+'Commissioning'!G56*'Project Register v2'!$B$265+'Commissioning'!G62*'Project Register v2'!$B$295</f>
        <v/>
      </c>
      <c r="H24" s="44">
        <f>'Commissioning'!H8*'Project Register v2'!$B$25+'Commissioning'!H14*'Project Register v2'!$B$55+'Commissioning'!H20*'Project Register v2'!$B$85+'Commissioning'!H26*'Project Register v2'!$B$115+'Commissioning'!H32*'Project Register v2'!$B$145+'Commissioning'!H38*'Project Register v2'!$B$175+'Commissioning'!H44*'Project Register v2'!$B$205+'Commissioning'!H50*'Project Register v2'!$B$235+'Commissioning'!H56*'Project Register v2'!$B$265+'Commissioning'!H62*'Project Register v2'!$B$295</f>
        <v/>
      </c>
      <c r="I24" s="44">
        <f>'Commissioning'!I8*'Project Register v2'!$B$25+'Commissioning'!I14*'Project Register v2'!$B$55+'Commissioning'!I20*'Project Register v2'!$B$85+'Commissioning'!I26*'Project Register v2'!$B$115+'Commissioning'!I32*'Project Register v2'!$B$145+'Commissioning'!I38*'Project Register v2'!$B$175+'Commissioning'!I44*'Project Register v2'!$B$205+'Commissioning'!I50*'Project Register v2'!$B$235+'Commissioning'!I56*'Project Register v2'!$B$265+'Commissioning'!I62*'Project Register v2'!$B$295</f>
        <v/>
      </c>
      <c r="J24" s="44">
        <f>'Commissioning'!J8*'Project Register v2'!$B$25+'Commissioning'!J14*'Project Register v2'!$B$55+'Commissioning'!J20*'Project Register v2'!$B$85+'Commissioning'!J26*'Project Register v2'!$B$115+'Commissioning'!J32*'Project Register v2'!$B$145+'Commissioning'!J38*'Project Register v2'!$B$175+'Commissioning'!J44*'Project Register v2'!$B$205+'Commissioning'!J50*'Project Register v2'!$B$235+'Commissioning'!J56*'Project Register v2'!$B$265+'Commissioning'!J62*'Project Register v2'!$B$295</f>
        <v/>
      </c>
      <c r="K24" s="44">
        <f>'Commissioning'!K8*'Project Register v2'!$B$25+'Commissioning'!K14*'Project Register v2'!$B$55+'Commissioning'!K20*'Project Register v2'!$B$85+'Commissioning'!K26*'Project Register v2'!$B$115+'Commissioning'!K32*'Project Register v2'!$B$145+'Commissioning'!K38*'Project Register v2'!$B$175+'Commissioning'!K44*'Project Register v2'!$B$205+'Commissioning'!K50*'Project Register v2'!$B$235+'Commissioning'!K56*'Project Register v2'!$B$265+'Commissioning'!K62*'Project Register v2'!$B$295</f>
        <v/>
      </c>
      <c r="L24" s="44">
        <f>'Commissioning'!L8*'Project Register v2'!$B$25+'Commissioning'!L14*'Project Register v2'!$B$55+'Commissioning'!L20*'Project Register v2'!$B$85+'Commissioning'!L26*'Project Register v2'!$B$115+'Commissioning'!L32*'Project Register v2'!$B$145+'Commissioning'!L38*'Project Register v2'!$B$175+'Commissioning'!L44*'Project Register v2'!$B$205+'Commissioning'!L50*'Project Register v2'!$B$235+'Commissioning'!L56*'Project Register v2'!$B$265+'Commissioning'!L62*'Project Register v2'!$B$295</f>
        <v/>
      </c>
      <c r="M24" s="44">
        <f>'Commissioning'!M8*'Project Register v2'!$B$25+'Commissioning'!M14*'Project Register v2'!$B$55+'Commissioning'!M20*'Project Register v2'!$B$85+'Commissioning'!M26*'Project Register v2'!$B$115+'Commissioning'!M32*'Project Register v2'!$B$145+'Commissioning'!M38*'Project Register v2'!$B$175+'Commissioning'!M44*'Project Register v2'!$B$205+'Commissioning'!M50*'Project Register v2'!$B$235+'Commissioning'!M56*'Project Register v2'!$B$265+'Commissioning'!M62*'Project Register v2'!$B$295</f>
        <v/>
      </c>
      <c r="N24" s="44">
        <f>'Commissioning'!N8*'Project Register v2'!$B$25+'Commissioning'!N14*'Project Register v2'!$B$55+'Commissioning'!N20*'Project Register v2'!$B$85+'Commissioning'!N26*'Project Register v2'!$B$115+'Commissioning'!N32*'Project Register v2'!$B$145+'Commissioning'!N38*'Project Register v2'!$B$175+'Commissioning'!N44*'Project Register v2'!$B$205+'Commissioning'!N50*'Project Register v2'!$B$235+'Commissioning'!N56*'Project Register v2'!$B$265+'Commissioning'!N62*'Project Register v2'!$B$295</f>
        <v/>
      </c>
      <c r="O24" s="44">
        <f>'Commissioning'!O8*'Project Register v2'!$B$25+'Commissioning'!O14*'Project Register v2'!$B$55+'Commissioning'!O20*'Project Register v2'!$B$85+'Commissioning'!O26*'Project Register v2'!$B$115+'Commissioning'!O32*'Project Register v2'!$B$145+'Commissioning'!O38*'Project Register v2'!$B$175+'Commissioning'!O44*'Project Register v2'!$B$205+'Commissioning'!O50*'Project Register v2'!$B$235+'Commissioning'!O56*'Project Register v2'!$B$265+'Commissioning'!O62*'Project Register v2'!$B$295</f>
        <v/>
      </c>
      <c r="P24" s="44">
        <f>'Commissioning'!P8*'Project Register v2'!$B$25+'Commissioning'!P14*'Project Register v2'!$B$55+'Commissioning'!P20*'Project Register v2'!$B$85+'Commissioning'!P26*'Project Register v2'!$B$115+'Commissioning'!P32*'Project Register v2'!$B$145+'Commissioning'!P38*'Project Register v2'!$B$175+'Commissioning'!P44*'Project Register v2'!$B$205+'Commissioning'!P50*'Project Register v2'!$B$235+'Commissioning'!P56*'Project Register v2'!$B$265+'Commissioning'!P62*'Project Register v2'!$B$295</f>
        <v/>
      </c>
    </row>
    <row r="25">
      <c r="A25" s="17" t="inlineStr">
        <is>
          <t xml:space="preserve">  AC21  Placeholder AC21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44">
        <f>'Commissioning'!G8*'Project Register v2'!$B$26+'Commissioning'!G14*'Project Register v2'!$B$56+'Commissioning'!G20*'Project Register v2'!$B$86+'Commissioning'!G26*'Project Register v2'!$B$116+'Commissioning'!G32*'Project Register v2'!$B$146+'Commissioning'!G38*'Project Register v2'!$B$176+'Commissioning'!G44*'Project Register v2'!$B$206+'Commissioning'!G50*'Project Register v2'!$B$236+'Commissioning'!G56*'Project Register v2'!$B$266+'Commissioning'!G62*'Project Register v2'!$B$296</f>
        <v/>
      </c>
      <c r="H25" s="44">
        <f>'Commissioning'!H8*'Project Register v2'!$B$26+'Commissioning'!H14*'Project Register v2'!$B$56+'Commissioning'!H20*'Project Register v2'!$B$86+'Commissioning'!H26*'Project Register v2'!$B$116+'Commissioning'!H32*'Project Register v2'!$B$146+'Commissioning'!H38*'Project Register v2'!$B$176+'Commissioning'!H44*'Project Register v2'!$B$206+'Commissioning'!H50*'Project Register v2'!$B$236+'Commissioning'!H56*'Project Register v2'!$B$266+'Commissioning'!H62*'Project Register v2'!$B$296</f>
        <v/>
      </c>
      <c r="I25" s="44">
        <f>'Commissioning'!I8*'Project Register v2'!$B$26+'Commissioning'!I14*'Project Register v2'!$B$56+'Commissioning'!I20*'Project Register v2'!$B$86+'Commissioning'!I26*'Project Register v2'!$B$116+'Commissioning'!I32*'Project Register v2'!$B$146+'Commissioning'!I38*'Project Register v2'!$B$176+'Commissioning'!I44*'Project Register v2'!$B$206+'Commissioning'!I50*'Project Register v2'!$B$236+'Commissioning'!I56*'Project Register v2'!$B$266+'Commissioning'!I62*'Project Register v2'!$B$296</f>
        <v/>
      </c>
      <c r="J25" s="44">
        <f>'Commissioning'!J8*'Project Register v2'!$B$26+'Commissioning'!J14*'Project Register v2'!$B$56+'Commissioning'!J20*'Project Register v2'!$B$86+'Commissioning'!J26*'Project Register v2'!$B$116+'Commissioning'!J32*'Project Register v2'!$B$146+'Commissioning'!J38*'Project Register v2'!$B$176+'Commissioning'!J44*'Project Register v2'!$B$206+'Commissioning'!J50*'Project Register v2'!$B$236+'Commissioning'!J56*'Project Register v2'!$B$266+'Commissioning'!J62*'Project Register v2'!$B$296</f>
        <v/>
      </c>
      <c r="K25" s="44">
        <f>'Commissioning'!K8*'Project Register v2'!$B$26+'Commissioning'!K14*'Project Register v2'!$B$56+'Commissioning'!K20*'Project Register v2'!$B$86+'Commissioning'!K26*'Project Register v2'!$B$116+'Commissioning'!K32*'Project Register v2'!$B$146+'Commissioning'!K38*'Project Register v2'!$B$176+'Commissioning'!K44*'Project Register v2'!$B$206+'Commissioning'!K50*'Project Register v2'!$B$236+'Commissioning'!K56*'Project Register v2'!$B$266+'Commissioning'!K62*'Project Register v2'!$B$296</f>
        <v/>
      </c>
      <c r="L25" s="44">
        <f>'Commissioning'!L8*'Project Register v2'!$B$26+'Commissioning'!L14*'Project Register v2'!$B$56+'Commissioning'!L20*'Project Register v2'!$B$86+'Commissioning'!L26*'Project Register v2'!$B$116+'Commissioning'!L32*'Project Register v2'!$B$146+'Commissioning'!L38*'Project Register v2'!$B$176+'Commissioning'!L44*'Project Register v2'!$B$206+'Commissioning'!L50*'Project Register v2'!$B$236+'Commissioning'!L56*'Project Register v2'!$B$266+'Commissioning'!L62*'Project Register v2'!$B$296</f>
        <v/>
      </c>
      <c r="M25" s="44">
        <f>'Commissioning'!M8*'Project Register v2'!$B$26+'Commissioning'!M14*'Project Register v2'!$B$56+'Commissioning'!M20*'Project Register v2'!$B$86+'Commissioning'!M26*'Project Register v2'!$B$116+'Commissioning'!M32*'Project Register v2'!$B$146+'Commissioning'!M38*'Project Register v2'!$B$176+'Commissioning'!M44*'Project Register v2'!$B$206+'Commissioning'!M50*'Project Register v2'!$B$236+'Commissioning'!M56*'Project Register v2'!$B$266+'Commissioning'!M62*'Project Register v2'!$B$296</f>
        <v/>
      </c>
      <c r="N25" s="44">
        <f>'Commissioning'!N8*'Project Register v2'!$B$26+'Commissioning'!N14*'Project Register v2'!$B$56+'Commissioning'!N20*'Project Register v2'!$B$86+'Commissioning'!N26*'Project Register v2'!$B$116+'Commissioning'!N32*'Project Register v2'!$B$146+'Commissioning'!N38*'Project Register v2'!$B$176+'Commissioning'!N44*'Project Register v2'!$B$206+'Commissioning'!N50*'Project Register v2'!$B$236+'Commissioning'!N56*'Project Register v2'!$B$266+'Commissioning'!N62*'Project Register v2'!$B$296</f>
        <v/>
      </c>
      <c r="O25" s="44">
        <f>'Commissioning'!O8*'Project Register v2'!$B$26+'Commissioning'!O14*'Project Register v2'!$B$56+'Commissioning'!O20*'Project Register v2'!$B$86+'Commissioning'!O26*'Project Register v2'!$B$116+'Commissioning'!O32*'Project Register v2'!$B$146+'Commissioning'!O38*'Project Register v2'!$B$176+'Commissioning'!O44*'Project Register v2'!$B$206+'Commissioning'!O50*'Project Register v2'!$B$236+'Commissioning'!O56*'Project Register v2'!$B$266+'Commissioning'!O62*'Project Register v2'!$B$296</f>
        <v/>
      </c>
      <c r="P25" s="44">
        <f>'Commissioning'!P8*'Project Register v2'!$B$26+'Commissioning'!P14*'Project Register v2'!$B$56+'Commissioning'!P20*'Project Register v2'!$B$86+'Commissioning'!P26*'Project Register v2'!$B$116+'Commissioning'!P32*'Project Register v2'!$B$146+'Commissioning'!P38*'Project Register v2'!$B$176+'Commissioning'!P44*'Project Register v2'!$B$206+'Commissioning'!P50*'Project Register v2'!$B$236+'Commissioning'!P56*'Project Register v2'!$B$266+'Commissioning'!P62*'Project Register v2'!$B$296</f>
        <v/>
      </c>
    </row>
    <row r="26">
      <c r="A26" s="17" t="inlineStr">
        <is>
          <t xml:space="preserve">  AC22  Placeholder AC22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44">
        <f>'Commissioning'!G8*'Project Register v2'!$B$27+'Commissioning'!G14*'Project Register v2'!$B$57+'Commissioning'!G20*'Project Register v2'!$B$87+'Commissioning'!G26*'Project Register v2'!$B$117+'Commissioning'!G32*'Project Register v2'!$B$147+'Commissioning'!G38*'Project Register v2'!$B$177+'Commissioning'!G44*'Project Register v2'!$B$207+'Commissioning'!G50*'Project Register v2'!$B$237+'Commissioning'!G56*'Project Register v2'!$B$267+'Commissioning'!G62*'Project Register v2'!$B$297</f>
        <v/>
      </c>
      <c r="H26" s="44">
        <f>'Commissioning'!H8*'Project Register v2'!$B$27+'Commissioning'!H14*'Project Register v2'!$B$57+'Commissioning'!H20*'Project Register v2'!$B$87+'Commissioning'!H26*'Project Register v2'!$B$117+'Commissioning'!H32*'Project Register v2'!$B$147+'Commissioning'!H38*'Project Register v2'!$B$177+'Commissioning'!H44*'Project Register v2'!$B$207+'Commissioning'!H50*'Project Register v2'!$B$237+'Commissioning'!H56*'Project Register v2'!$B$267+'Commissioning'!H62*'Project Register v2'!$B$297</f>
        <v/>
      </c>
      <c r="I26" s="44">
        <f>'Commissioning'!I8*'Project Register v2'!$B$27+'Commissioning'!I14*'Project Register v2'!$B$57+'Commissioning'!I20*'Project Register v2'!$B$87+'Commissioning'!I26*'Project Register v2'!$B$117+'Commissioning'!I32*'Project Register v2'!$B$147+'Commissioning'!I38*'Project Register v2'!$B$177+'Commissioning'!I44*'Project Register v2'!$B$207+'Commissioning'!I50*'Project Register v2'!$B$237+'Commissioning'!I56*'Project Register v2'!$B$267+'Commissioning'!I62*'Project Register v2'!$B$297</f>
        <v/>
      </c>
      <c r="J26" s="44">
        <f>'Commissioning'!J8*'Project Register v2'!$B$27+'Commissioning'!J14*'Project Register v2'!$B$57+'Commissioning'!J20*'Project Register v2'!$B$87+'Commissioning'!J26*'Project Register v2'!$B$117+'Commissioning'!J32*'Project Register v2'!$B$147+'Commissioning'!J38*'Project Register v2'!$B$177+'Commissioning'!J44*'Project Register v2'!$B$207+'Commissioning'!J50*'Project Register v2'!$B$237+'Commissioning'!J56*'Project Register v2'!$B$267+'Commissioning'!J62*'Project Register v2'!$B$297</f>
        <v/>
      </c>
      <c r="K26" s="44">
        <f>'Commissioning'!K8*'Project Register v2'!$B$27+'Commissioning'!K14*'Project Register v2'!$B$57+'Commissioning'!K20*'Project Register v2'!$B$87+'Commissioning'!K26*'Project Register v2'!$B$117+'Commissioning'!K32*'Project Register v2'!$B$147+'Commissioning'!K38*'Project Register v2'!$B$177+'Commissioning'!K44*'Project Register v2'!$B$207+'Commissioning'!K50*'Project Register v2'!$B$237+'Commissioning'!K56*'Project Register v2'!$B$267+'Commissioning'!K62*'Project Register v2'!$B$297</f>
        <v/>
      </c>
      <c r="L26" s="44">
        <f>'Commissioning'!L8*'Project Register v2'!$B$27+'Commissioning'!L14*'Project Register v2'!$B$57+'Commissioning'!L20*'Project Register v2'!$B$87+'Commissioning'!L26*'Project Register v2'!$B$117+'Commissioning'!L32*'Project Register v2'!$B$147+'Commissioning'!L38*'Project Register v2'!$B$177+'Commissioning'!L44*'Project Register v2'!$B$207+'Commissioning'!L50*'Project Register v2'!$B$237+'Commissioning'!L56*'Project Register v2'!$B$267+'Commissioning'!L62*'Project Register v2'!$B$297</f>
        <v/>
      </c>
      <c r="M26" s="44">
        <f>'Commissioning'!M8*'Project Register v2'!$B$27+'Commissioning'!M14*'Project Register v2'!$B$57+'Commissioning'!M20*'Project Register v2'!$B$87+'Commissioning'!M26*'Project Register v2'!$B$117+'Commissioning'!M32*'Project Register v2'!$B$147+'Commissioning'!M38*'Project Register v2'!$B$177+'Commissioning'!M44*'Project Register v2'!$B$207+'Commissioning'!M50*'Project Register v2'!$B$237+'Commissioning'!M56*'Project Register v2'!$B$267+'Commissioning'!M62*'Project Register v2'!$B$297</f>
        <v/>
      </c>
      <c r="N26" s="44">
        <f>'Commissioning'!N8*'Project Register v2'!$B$27+'Commissioning'!N14*'Project Register v2'!$B$57+'Commissioning'!N20*'Project Register v2'!$B$87+'Commissioning'!N26*'Project Register v2'!$B$117+'Commissioning'!N32*'Project Register v2'!$B$147+'Commissioning'!N38*'Project Register v2'!$B$177+'Commissioning'!N44*'Project Register v2'!$B$207+'Commissioning'!N50*'Project Register v2'!$B$237+'Commissioning'!N56*'Project Register v2'!$B$267+'Commissioning'!N62*'Project Register v2'!$B$297</f>
        <v/>
      </c>
      <c r="O26" s="44">
        <f>'Commissioning'!O8*'Project Register v2'!$B$27+'Commissioning'!O14*'Project Register v2'!$B$57+'Commissioning'!O20*'Project Register v2'!$B$87+'Commissioning'!O26*'Project Register v2'!$B$117+'Commissioning'!O32*'Project Register v2'!$B$147+'Commissioning'!O38*'Project Register v2'!$B$177+'Commissioning'!O44*'Project Register v2'!$B$207+'Commissioning'!O50*'Project Register v2'!$B$237+'Commissioning'!O56*'Project Register v2'!$B$267+'Commissioning'!O62*'Project Register v2'!$B$297</f>
        <v/>
      </c>
      <c r="P26" s="44">
        <f>'Commissioning'!P8*'Project Register v2'!$B$27+'Commissioning'!P14*'Project Register v2'!$B$57+'Commissioning'!P20*'Project Register v2'!$B$87+'Commissioning'!P26*'Project Register v2'!$B$117+'Commissioning'!P32*'Project Register v2'!$B$147+'Commissioning'!P38*'Project Register v2'!$B$177+'Commissioning'!P44*'Project Register v2'!$B$207+'Commissioning'!P50*'Project Register v2'!$B$237+'Commissioning'!P56*'Project Register v2'!$B$267+'Commissioning'!P62*'Project Register v2'!$B$297</f>
        <v/>
      </c>
    </row>
    <row r="28">
      <c r="A28" s="17" t="inlineStr">
        <is>
          <t xml:space="preserve">  TOTAL — All Asset Classes ($M Commissioned)</t>
        </is>
      </c>
      <c r="B28" s="42">
        <f>SUM(B5:B26)</f>
        <v/>
      </c>
      <c r="C28" s="42">
        <f>SUM(C5:C26)</f>
        <v/>
      </c>
      <c r="D28" s="42">
        <f>SUM(D5:D26)</f>
        <v/>
      </c>
      <c r="E28" s="42">
        <f>SUM(E5:E26)</f>
        <v/>
      </c>
      <c r="F28" s="42">
        <f>SUM(F5:F26)</f>
        <v/>
      </c>
      <c r="G28" s="42">
        <f>SUM(G5:G26)</f>
        <v/>
      </c>
      <c r="H28" s="42">
        <f>SUM(H5:H26)</f>
        <v/>
      </c>
      <c r="I28" s="42">
        <f>SUM(I5:I26)</f>
        <v/>
      </c>
      <c r="J28" s="42">
        <f>SUM(J5:J26)</f>
        <v/>
      </c>
      <c r="K28" s="42">
        <f>SUM(K5:K26)</f>
        <v/>
      </c>
      <c r="L28" s="42">
        <f>SUM(L5:L26)</f>
        <v/>
      </c>
      <c r="M28" s="42">
        <f>SUM(M5:M26)</f>
        <v/>
      </c>
      <c r="N28" s="42">
        <f>SUM(N5:N26)</f>
        <v/>
      </c>
      <c r="O28" s="42">
        <f>SUM(O5:O26)</f>
        <v/>
      </c>
      <c r="P28" s="42">
        <f>SUM(P5:P26)</f>
        <v/>
      </c>
    </row>
  </sheetData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B0082"/>
    <outlinePr summaryBelow="1" summaryRight="1"/>
    <pageSetUpPr/>
  </sheetPr>
  <dimension ref="A1:P26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6" t="inlineStr">
        <is>
          <t>NEW ASSETS DEPRECIATION — Vintage Cohort × Asset Class (Straight-Line)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15" t="inlineStr">
        <is>
          <t>AC1  Transmission Lines &gt;132kV  |  Useful Life: 60yr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</row>
    <row r="5">
      <c r="A5" s="17" t="inlineStr">
        <is>
          <t xml:space="preserve">    Vintage FY2024E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44">
        <f>'Reg Output - Commissioned'!G5/60</f>
        <v/>
      </c>
      <c r="H5" s="44">
        <f>'Reg Output - Commissioned'!G5/60</f>
        <v/>
      </c>
      <c r="I5" s="44">
        <f>'Reg Output - Commissioned'!G5/60</f>
        <v/>
      </c>
      <c r="J5" s="44">
        <f>'Reg Output - Commissioned'!G5/60</f>
        <v/>
      </c>
      <c r="K5" s="44">
        <f>'Reg Output - Commissioned'!G5/60</f>
        <v/>
      </c>
      <c r="L5" s="44">
        <f>'Reg Output - Commissioned'!G5/60</f>
        <v/>
      </c>
      <c r="M5" s="44">
        <f>'Reg Output - Commissioned'!G5/60</f>
        <v/>
      </c>
      <c r="N5" s="44">
        <f>'Reg Output - Commissioned'!G5/60</f>
        <v/>
      </c>
      <c r="O5" s="44">
        <f>'Reg Output - Commissioned'!G5/60</f>
        <v/>
      </c>
      <c r="P5" s="44">
        <f>'Reg Output - Commissioned'!G5/60</f>
        <v/>
      </c>
    </row>
    <row r="6">
      <c r="A6" s="17" t="inlineStr">
        <is>
          <t xml:space="preserve">    Vintage FY2025E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44" t="n">
        <v>0</v>
      </c>
      <c r="H6" s="44">
        <f>'Reg Output - Commissioned'!H5/60</f>
        <v/>
      </c>
      <c r="I6" s="44">
        <f>'Reg Output - Commissioned'!H5/60</f>
        <v/>
      </c>
      <c r="J6" s="44">
        <f>'Reg Output - Commissioned'!H5/60</f>
        <v/>
      </c>
      <c r="K6" s="44">
        <f>'Reg Output - Commissioned'!H5/60</f>
        <v/>
      </c>
      <c r="L6" s="44">
        <f>'Reg Output - Commissioned'!H5/60</f>
        <v/>
      </c>
      <c r="M6" s="44">
        <f>'Reg Output - Commissioned'!H5/60</f>
        <v/>
      </c>
      <c r="N6" s="44">
        <f>'Reg Output - Commissioned'!H5/60</f>
        <v/>
      </c>
      <c r="O6" s="44">
        <f>'Reg Output - Commissioned'!H5/60</f>
        <v/>
      </c>
      <c r="P6" s="44">
        <f>'Reg Output - Commissioned'!H5/60</f>
        <v/>
      </c>
    </row>
    <row r="7">
      <c r="A7" s="17" t="inlineStr">
        <is>
          <t xml:space="preserve">    Vintage FY2026E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44" t="n">
        <v>0</v>
      </c>
      <c r="H7" s="44" t="n">
        <v>0</v>
      </c>
      <c r="I7" s="44">
        <f>'Reg Output - Commissioned'!I5/60</f>
        <v/>
      </c>
      <c r="J7" s="44">
        <f>'Reg Output - Commissioned'!I5/60</f>
        <v/>
      </c>
      <c r="K7" s="44">
        <f>'Reg Output - Commissioned'!I5/60</f>
        <v/>
      </c>
      <c r="L7" s="44">
        <f>'Reg Output - Commissioned'!I5/60</f>
        <v/>
      </c>
      <c r="M7" s="44">
        <f>'Reg Output - Commissioned'!I5/60</f>
        <v/>
      </c>
      <c r="N7" s="44">
        <f>'Reg Output - Commissioned'!I5/60</f>
        <v/>
      </c>
      <c r="O7" s="44">
        <f>'Reg Output - Commissioned'!I5/60</f>
        <v/>
      </c>
      <c r="P7" s="44">
        <f>'Reg Output - Commissioned'!I5/60</f>
        <v/>
      </c>
    </row>
    <row r="8">
      <c r="A8" s="17" t="inlineStr">
        <is>
          <t xml:space="preserve">    Vintage FY2027E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44" t="n">
        <v>0</v>
      </c>
      <c r="H8" s="44" t="n">
        <v>0</v>
      </c>
      <c r="I8" s="44" t="n">
        <v>0</v>
      </c>
      <c r="J8" s="44">
        <f>'Reg Output - Commissioned'!J5/60</f>
        <v/>
      </c>
      <c r="K8" s="44">
        <f>'Reg Output - Commissioned'!J5/60</f>
        <v/>
      </c>
      <c r="L8" s="44">
        <f>'Reg Output - Commissioned'!J5/60</f>
        <v/>
      </c>
      <c r="M8" s="44">
        <f>'Reg Output - Commissioned'!J5/60</f>
        <v/>
      </c>
      <c r="N8" s="44">
        <f>'Reg Output - Commissioned'!J5/60</f>
        <v/>
      </c>
      <c r="O8" s="44">
        <f>'Reg Output - Commissioned'!J5/60</f>
        <v/>
      </c>
      <c r="P8" s="44">
        <f>'Reg Output - Commissioned'!J5/60</f>
        <v/>
      </c>
    </row>
    <row r="9">
      <c r="A9" s="17" t="inlineStr">
        <is>
          <t xml:space="preserve">    Vintage FY2028E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44" t="n">
        <v>0</v>
      </c>
      <c r="H9" s="44" t="n">
        <v>0</v>
      </c>
      <c r="I9" s="44" t="n">
        <v>0</v>
      </c>
      <c r="J9" s="44" t="n">
        <v>0</v>
      </c>
      <c r="K9" s="44">
        <f>'Reg Output - Commissioned'!K5/60</f>
        <v/>
      </c>
      <c r="L9" s="44">
        <f>'Reg Output - Commissioned'!K5/60</f>
        <v/>
      </c>
      <c r="M9" s="44">
        <f>'Reg Output - Commissioned'!K5/60</f>
        <v/>
      </c>
      <c r="N9" s="44">
        <f>'Reg Output - Commissioned'!K5/60</f>
        <v/>
      </c>
      <c r="O9" s="44">
        <f>'Reg Output - Commissioned'!K5/60</f>
        <v/>
      </c>
      <c r="P9" s="44">
        <f>'Reg Output - Commissioned'!K5/60</f>
        <v/>
      </c>
    </row>
    <row r="10">
      <c r="A10" s="17" t="inlineStr">
        <is>
          <t xml:space="preserve">    Vintage FY2029E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6" t="n">
        <v>0</v>
      </c>
      <c r="G10" s="44" t="n">
        <v>0</v>
      </c>
      <c r="H10" s="44" t="n">
        <v>0</v>
      </c>
      <c r="I10" s="44" t="n">
        <v>0</v>
      </c>
      <c r="J10" s="44" t="n">
        <v>0</v>
      </c>
      <c r="K10" s="44" t="n">
        <v>0</v>
      </c>
      <c r="L10" s="44">
        <f>'Reg Output - Commissioned'!L5/60</f>
        <v/>
      </c>
      <c r="M10" s="44">
        <f>'Reg Output - Commissioned'!L5/60</f>
        <v/>
      </c>
      <c r="N10" s="44">
        <f>'Reg Output - Commissioned'!L5/60</f>
        <v/>
      </c>
      <c r="O10" s="44">
        <f>'Reg Output - Commissioned'!L5/60</f>
        <v/>
      </c>
      <c r="P10" s="44">
        <f>'Reg Output - Commissioned'!L5/60</f>
        <v/>
      </c>
    </row>
    <row r="11">
      <c r="A11" s="17" t="inlineStr">
        <is>
          <t xml:space="preserve">    Vintage FY2030E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0</v>
      </c>
      <c r="M11" s="44">
        <f>'Reg Output - Commissioned'!M5/60</f>
        <v/>
      </c>
      <c r="N11" s="44">
        <f>'Reg Output - Commissioned'!M5/60</f>
        <v/>
      </c>
      <c r="O11" s="44">
        <f>'Reg Output - Commissioned'!M5/60</f>
        <v/>
      </c>
      <c r="P11" s="44">
        <f>'Reg Output - Commissioned'!M5/60</f>
        <v/>
      </c>
    </row>
    <row r="12">
      <c r="A12" s="17" t="inlineStr">
        <is>
          <t xml:space="preserve">    Vintage FY2031E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44" t="n">
        <v>0</v>
      </c>
      <c r="H12" s="44" t="n">
        <v>0</v>
      </c>
      <c r="I12" s="44" t="n">
        <v>0</v>
      </c>
      <c r="J12" s="44" t="n">
        <v>0</v>
      </c>
      <c r="K12" s="44" t="n">
        <v>0</v>
      </c>
      <c r="L12" s="44" t="n">
        <v>0</v>
      </c>
      <c r="M12" s="44" t="n">
        <v>0</v>
      </c>
      <c r="N12" s="44">
        <f>'Reg Output - Commissioned'!N5/60</f>
        <v/>
      </c>
      <c r="O12" s="44">
        <f>'Reg Output - Commissioned'!N5/60</f>
        <v/>
      </c>
      <c r="P12" s="44">
        <f>'Reg Output - Commissioned'!N5/60</f>
        <v/>
      </c>
    </row>
    <row r="13">
      <c r="A13" s="17" t="inlineStr">
        <is>
          <t xml:space="preserve">    Vintage FY2032E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44" t="n">
        <v>0</v>
      </c>
      <c r="H13" s="44" t="n">
        <v>0</v>
      </c>
      <c r="I13" s="44" t="n">
        <v>0</v>
      </c>
      <c r="J13" s="44" t="n">
        <v>0</v>
      </c>
      <c r="K13" s="44" t="n">
        <v>0</v>
      </c>
      <c r="L13" s="44" t="n">
        <v>0</v>
      </c>
      <c r="M13" s="44" t="n">
        <v>0</v>
      </c>
      <c r="N13" s="44" t="n">
        <v>0</v>
      </c>
      <c r="O13" s="44">
        <f>'Reg Output - Commissioned'!O5/60</f>
        <v/>
      </c>
      <c r="P13" s="44">
        <f>'Reg Output - Commissioned'!O5/60</f>
        <v/>
      </c>
    </row>
    <row r="14">
      <c r="A14" s="17" t="inlineStr">
        <is>
          <t xml:space="preserve">    Vintage FY2033E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44" t="n">
        <v>0</v>
      </c>
      <c r="H14" s="44" t="n">
        <v>0</v>
      </c>
      <c r="I14" s="44" t="n">
        <v>0</v>
      </c>
      <c r="J14" s="44" t="n">
        <v>0</v>
      </c>
      <c r="K14" s="44" t="n">
        <v>0</v>
      </c>
      <c r="L14" s="44" t="n">
        <v>0</v>
      </c>
      <c r="M14" s="44" t="n">
        <v>0</v>
      </c>
      <c r="N14" s="44" t="n">
        <v>0</v>
      </c>
      <c r="O14" s="44" t="n">
        <v>0</v>
      </c>
      <c r="P14" s="44">
        <f>'Reg Output - Commissioned'!P5/60</f>
        <v/>
      </c>
    </row>
    <row r="15">
      <c r="A15" s="17" t="inlineStr">
        <is>
          <t xml:space="preserve">    AC1 Total Depn</t>
        </is>
      </c>
      <c r="B15" s="43">
        <f>SUM(B5:B14)</f>
        <v/>
      </c>
      <c r="C15" s="43">
        <f>SUM(C5:C14)</f>
        <v/>
      </c>
      <c r="D15" s="43">
        <f>SUM(D5:D14)</f>
        <v/>
      </c>
      <c r="E15" s="43">
        <f>SUM(E5:E14)</f>
        <v/>
      </c>
      <c r="F15" s="43">
        <f>SUM(F5:F14)</f>
        <v/>
      </c>
      <c r="G15" s="43">
        <f>SUM(G5:G14)</f>
        <v/>
      </c>
      <c r="H15" s="43">
        <f>SUM(H5:H14)</f>
        <v/>
      </c>
      <c r="I15" s="43">
        <f>SUM(I5:I14)</f>
        <v/>
      </c>
      <c r="J15" s="43">
        <f>SUM(J5:J14)</f>
        <v/>
      </c>
      <c r="K15" s="43">
        <f>SUM(K5:K14)</f>
        <v/>
      </c>
      <c r="L15" s="43">
        <f>SUM(L5:L14)</f>
        <v/>
      </c>
      <c r="M15" s="43">
        <f>SUM(M5:M14)</f>
        <v/>
      </c>
      <c r="N15" s="43">
        <f>SUM(N5:N14)</f>
        <v/>
      </c>
      <c r="O15" s="43">
        <f>SUM(O5:O14)</f>
        <v/>
      </c>
      <c r="P15" s="43">
        <f>SUM(P5:P14)</f>
        <v/>
      </c>
    </row>
    <row r="16">
      <c r="A16" s="15" t="inlineStr">
        <is>
          <t>AC2  Transmission Lines &lt;=132kV  |  Useful Life: 50yr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</row>
    <row r="17">
      <c r="A17" s="17" t="inlineStr">
        <is>
          <t xml:space="preserve">    Vintage FY2024E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44">
        <f>'Reg Output - Commissioned'!G6/50</f>
        <v/>
      </c>
      <c r="H17" s="44">
        <f>'Reg Output - Commissioned'!G6/50</f>
        <v/>
      </c>
      <c r="I17" s="44">
        <f>'Reg Output - Commissioned'!G6/50</f>
        <v/>
      </c>
      <c r="J17" s="44">
        <f>'Reg Output - Commissioned'!G6/50</f>
        <v/>
      </c>
      <c r="K17" s="44">
        <f>'Reg Output - Commissioned'!G6/50</f>
        <v/>
      </c>
      <c r="L17" s="44">
        <f>'Reg Output - Commissioned'!G6/50</f>
        <v/>
      </c>
      <c r="M17" s="44">
        <f>'Reg Output - Commissioned'!G6/50</f>
        <v/>
      </c>
      <c r="N17" s="44">
        <f>'Reg Output - Commissioned'!G6/50</f>
        <v/>
      </c>
      <c r="O17" s="44">
        <f>'Reg Output - Commissioned'!G6/50</f>
        <v/>
      </c>
      <c r="P17" s="44">
        <f>'Reg Output - Commissioned'!G6/50</f>
        <v/>
      </c>
    </row>
    <row r="18">
      <c r="A18" s="17" t="inlineStr">
        <is>
          <t xml:space="preserve">    Vintage FY2025E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44" t="n">
        <v>0</v>
      </c>
      <c r="H18" s="44">
        <f>'Reg Output - Commissioned'!H6/50</f>
        <v/>
      </c>
      <c r="I18" s="44">
        <f>'Reg Output - Commissioned'!H6/50</f>
        <v/>
      </c>
      <c r="J18" s="44">
        <f>'Reg Output - Commissioned'!H6/50</f>
        <v/>
      </c>
      <c r="K18" s="44">
        <f>'Reg Output - Commissioned'!H6/50</f>
        <v/>
      </c>
      <c r="L18" s="44">
        <f>'Reg Output - Commissioned'!H6/50</f>
        <v/>
      </c>
      <c r="M18" s="44">
        <f>'Reg Output - Commissioned'!H6/50</f>
        <v/>
      </c>
      <c r="N18" s="44">
        <f>'Reg Output - Commissioned'!H6/50</f>
        <v/>
      </c>
      <c r="O18" s="44">
        <f>'Reg Output - Commissioned'!H6/50</f>
        <v/>
      </c>
      <c r="P18" s="44">
        <f>'Reg Output - Commissioned'!H6/50</f>
        <v/>
      </c>
    </row>
    <row r="19">
      <c r="A19" s="17" t="inlineStr">
        <is>
          <t xml:space="preserve">    Vintage FY2026E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44" t="n">
        <v>0</v>
      </c>
      <c r="H19" s="44" t="n">
        <v>0</v>
      </c>
      <c r="I19" s="44">
        <f>'Reg Output - Commissioned'!I6/50</f>
        <v/>
      </c>
      <c r="J19" s="44">
        <f>'Reg Output - Commissioned'!I6/50</f>
        <v/>
      </c>
      <c r="K19" s="44">
        <f>'Reg Output - Commissioned'!I6/50</f>
        <v/>
      </c>
      <c r="L19" s="44">
        <f>'Reg Output - Commissioned'!I6/50</f>
        <v/>
      </c>
      <c r="M19" s="44">
        <f>'Reg Output - Commissioned'!I6/50</f>
        <v/>
      </c>
      <c r="N19" s="44">
        <f>'Reg Output - Commissioned'!I6/50</f>
        <v/>
      </c>
      <c r="O19" s="44">
        <f>'Reg Output - Commissioned'!I6/50</f>
        <v/>
      </c>
      <c r="P19" s="44">
        <f>'Reg Output - Commissioned'!I6/50</f>
        <v/>
      </c>
    </row>
    <row r="20">
      <c r="A20" s="17" t="inlineStr">
        <is>
          <t xml:space="preserve">    Vintage FY2027E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44" t="n">
        <v>0</v>
      </c>
      <c r="H20" s="44" t="n">
        <v>0</v>
      </c>
      <c r="I20" s="44" t="n">
        <v>0</v>
      </c>
      <c r="J20" s="44">
        <f>'Reg Output - Commissioned'!J6/50</f>
        <v/>
      </c>
      <c r="K20" s="44">
        <f>'Reg Output - Commissioned'!J6/50</f>
        <v/>
      </c>
      <c r="L20" s="44">
        <f>'Reg Output - Commissioned'!J6/50</f>
        <v/>
      </c>
      <c r="M20" s="44">
        <f>'Reg Output - Commissioned'!J6/50</f>
        <v/>
      </c>
      <c r="N20" s="44">
        <f>'Reg Output - Commissioned'!J6/50</f>
        <v/>
      </c>
      <c r="O20" s="44">
        <f>'Reg Output - Commissioned'!J6/50</f>
        <v/>
      </c>
      <c r="P20" s="44">
        <f>'Reg Output - Commissioned'!J6/50</f>
        <v/>
      </c>
    </row>
    <row r="21">
      <c r="A21" s="17" t="inlineStr">
        <is>
          <t xml:space="preserve">    Vintage FY2028E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44" t="n">
        <v>0</v>
      </c>
      <c r="H21" s="44" t="n">
        <v>0</v>
      </c>
      <c r="I21" s="44" t="n">
        <v>0</v>
      </c>
      <c r="J21" s="44" t="n">
        <v>0</v>
      </c>
      <c r="K21" s="44">
        <f>'Reg Output - Commissioned'!K6/50</f>
        <v/>
      </c>
      <c r="L21" s="44">
        <f>'Reg Output - Commissioned'!K6/50</f>
        <v/>
      </c>
      <c r="M21" s="44">
        <f>'Reg Output - Commissioned'!K6/50</f>
        <v/>
      </c>
      <c r="N21" s="44">
        <f>'Reg Output - Commissioned'!K6/50</f>
        <v/>
      </c>
      <c r="O21" s="44">
        <f>'Reg Output - Commissioned'!K6/50</f>
        <v/>
      </c>
      <c r="P21" s="44">
        <f>'Reg Output - Commissioned'!K6/50</f>
        <v/>
      </c>
    </row>
    <row r="22">
      <c r="A22" s="17" t="inlineStr">
        <is>
          <t xml:space="preserve">    Vintage FY2029E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44" t="n">
        <v>0</v>
      </c>
      <c r="H22" s="44" t="n">
        <v>0</v>
      </c>
      <c r="I22" s="44" t="n">
        <v>0</v>
      </c>
      <c r="J22" s="44" t="n">
        <v>0</v>
      </c>
      <c r="K22" s="44" t="n">
        <v>0</v>
      </c>
      <c r="L22" s="44">
        <f>'Reg Output - Commissioned'!L6/50</f>
        <v/>
      </c>
      <c r="M22" s="44">
        <f>'Reg Output - Commissioned'!L6/50</f>
        <v/>
      </c>
      <c r="N22" s="44">
        <f>'Reg Output - Commissioned'!L6/50</f>
        <v/>
      </c>
      <c r="O22" s="44">
        <f>'Reg Output - Commissioned'!L6/50</f>
        <v/>
      </c>
      <c r="P22" s="44">
        <f>'Reg Output - Commissioned'!L6/50</f>
        <v/>
      </c>
    </row>
    <row r="23">
      <c r="A23" s="17" t="inlineStr">
        <is>
          <t xml:space="preserve">    Vintage FY2030E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0</v>
      </c>
      <c r="M23" s="44">
        <f>'Reg Output - Commissioned'!M6/50</f>
        <v/>
      </c>
      <c r="N23" s="44">
        <f>'Reg Output - Commissioned'!M6/50</f>
        <v/>
      </c>
      <c r="O23" s="44">
        <f>'Reg Output - Commissioned'!M6/50</f>
        <v/>
      </c>
      <c r="P23" s="44">
        <f>'Reg Output - Commissioned'!M6/50</f>
        <v/>
      </c>
    </row>
    <row r="24">
      <c r="A24" s="17" t="inlineStr">
        <is>
          <t xml:space="preserve">    Vintage FY2031E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44" t="n">
        <v>0</v>
      </c>
      <c r="H24" s="44" t="n">
        <v>0</v>
      </c>
      <c r="I24" s="44" t="n">
        <v>0</v>
      </c>
      <c r="J24" s="44" t="n">
        <v>0</v>
      </c>
      <c r="K24" s="44" t="n">
        <v>0</v>
      </c>
      <c r="L24" s="44" t="n">
        <v>0</v>
      </c>
      <c r="M24" s="44" t="n">
        <v>0</v>
      </c>
      <c r="N24" s="44">
        <f>'Reg Output - Commissioned'!N6/50</f>
        <v/>
      </c>
      <c r="O24" s="44">
        <f>'Reg Output - Commissioned'!N6/50</f>
        <v/>
      </c>
      <c r="P24" s="44">
        <f>'Reg Output - Commissioned'!N6/50</f>
        <v/>
      </c>
    </row>
    <row r="25">
      <c r="A25" s="17" t="inlineStr">
        <is>
          <t xml:space="preserve">    Vintage FY2032E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0</v>
      </c>
      <c r="M25" s="44" t="n">
        <v>0</v>
      </c>
      <c r="N25" s="44" t="n">
        <v>0</v>
      </c>
      <c r="O25" s="44">
        <f>'Reg Output - Commissioned'!O6/50</f>
        <v/>
      </c>
      <c r="P25" s="44">
        <f>'Reg Output - Commissioned'!O6/50</f>
        <v/>
      </c>
    </row>
    <row r="26">
      <c r="A26" s="17" t="inlineStr">
        <is>
          <t xml:space="preserve">    Vintage FY2033E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44" t="n">
        <v>0</v>
      </c>
      <c r="H26" s="44" t="n">
        <v>0</v>
      </c>
      <c r="I26" s="44" t="n">
        <v>0</v>
      </c>
      <c r="J26" s="44" t="n">
        <v>0</v>
      </c>
      <c r="K26" s="44" t="n">
        <v>0</v>
      </c>
      <c r="L26" s="44" t="n">
        <v>0</v>
      </c>
      <c r="M26" s="44" t="n">
        <v>0</v>
      </c>
      <c r="N26" s="44" t="n">
        <v>0</v>
      </c>
      <c r="O26" s="44" t="n">
        <v>0</v>
      </c>
      <c r="P26" s="44">
        <f>'Reg Output - Commissioned'!P6/50</f>
        <v/>
      </c>
    </row>
    <row r="27">
      <c r="A27" s="17" t="inlineStr">
        <is>
          <t xml:space="preserve">    AC2 Total Depn</t>
        </is>
      </c>
      <c r="B27" s="43">
        <f>SUM(B17:B26)</f>
        <v/>
      </c>
      <c r="C27" s="43">
        <f>SUM(C17:C26)</f>
        <v/>
      </c>
      <c r="D27" s="43">
        <f>SUM(D17:D26)</f>
        <v/>
      </c>
      <c r="E27" s="43">
        <f>SUM(E17:E26)</f>
        <v/>
      </c>
      <c r="F27" s="43">
        <f>SUM(F17:F26)</f>
        <v/>
      </c>
      <c r="G27" s="43">
        <f>SUM(G17:G26)</f>
        <v/>
      </c>
      <c r="H27" s="43">
        <f>SUM(H17:H26)</f>
        <v/>
      </c>
      <c r="I27" s="43">
        <f>SUM(I17:I26)</f>
        <v/>
      </c>
      <c r="J27" s="43">
        <f>SUM(J17:J26)</f>
        <v/>
      </c>
      <c r="K27" s="43">
        <f>SUM(K17:K26)</f>
        <v/>
      </c>
      <c r="L27" s="43">
        <f>SUM(L17:L26)</f>
        <v/>
      </c>
      <c r="M27" s="43">
        <f>SUM(M17:M26)</f>
        <v/>
      </c>
      <c r="N27" s="43">
        <f>SUM(N17:N26)</f>
        <v/>
      </c>
      <c r="O27" s="43">
        <f>SUM(O17:O26)</f>
        <v/>
      </c>
      <c r="P27" s="43">
        <f>SUM(P17:P26)</f>
        <v/>
      </c>
    </row>
    <row r="28">
      <c r="A28" s="15" t="inlineStr">
        <is>
          <t>AC3  Underground Cables  |  Useful Life: 45yr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</row>
    <row r="29">
      <c r="A29" s="17" t="inlineStr">
        <is>
          <t xml:space="preserve">    Vintage FY2024E</t>
        </is>
      </c>
      <c r="B29" s="26" t="n">
        <v>0</v>
      </c>
      <c r="C29" s="26" t="n">
        <v>0</v>
      </c>
      <c r="D29" s="26" t="n">
        <v>0</v>
      </c>
      <c r="E29" s="26" t="n">
        <v>0</v>
      </c>
      <c r="F29" s="26" t="n">
        <v>0</v>
      </c>
      <c r="G29" s="44">
        <f>'Reg Output - Commissioned'!G7/45</f>
        <v/>
      </c>
      <c r="H29" s="44">
        <f>'Reg Output - Commissioned'!G7/45</f>
        <v/>
      </c>
      <c r="I29" s="44">
        <f>'Reg Output - Commissioned'!G7/45</f>
        <v/>
      </c>
      <c r="J29" s="44">
        <f>'Reg Output - Commissioned'!G7/45</f>
        <v/>
      </c>
      <c r="K29" s="44">
        <f>'Reg Output - Commissioned'!G7/45</f>
        <v/>
      </c>
      <c r="L29" s="44">
        <f>'Reg Output - Commissioned'!G7/45</f>
        <v/>
      </c>
      <c r="M29" s="44">
        <f>'Reg Output - Commissioned'!G7/45</f>
        <v/>
      </c>
      <c r="N29" s="44">
        <f>'Reg Output - Commissioned'!G7/45</f>
        <v/>
      </c>
      <c r="O29" s="44">
        <f>'Reg Output - Commissioned'!G7/45</f>
        <v/>
      </c>
      <c r="P29" s="44">
        <f>'Reg Output - Commissioned'!G7/45</f>
        <v/>
      </c>
    </row>
    <row r="30">
      <c r="A30" s="17" t="inlineStr">
        <is>
          <t xml:space="preserve">    Vintage FY2025E</t>
        </is>
      </c>
      <c r="B30" s="26" t="n">
        <v>0</v>
      </c>
      <c r="C30" s="26" t="n">
        <v>0</v>
      </c>
      <c r="D30" s="26" t="n">
        <v>0</v>
      </c>
      <c r="E30" s="26" t="n">
        <v>0</v>
      </c>
      <c r="F30" s="26" t="n">
        <v>0</v>
      </c>
      <c r="G30" s="44" t="n">
        <v>0</v>
      </c>
      <c r="H30" s="44">
        <f>'Reg Output - Commissioned'!H7/45</f>
        <v/>
      </c>
      <c r="I30" s="44">
        <f>'Reg Output - Commissioned'!H7/45</f>
        <v/>
      </c>
      <c r="J30" s="44">
        <f>'Reg Output - Commissioned'!H7/45</f>
        <v/>
      </c>
      <c r="K30" s="44">
        <f>'Reg Output - Commissioned'!H7/45</f>
        <v/>
      </c>
      <c r="L30" s="44">
        <f>'Reg Output - Commissioned'!H7/45</f>
        <v/>
      </c>
      <c r="M30" s="44">
        <f>'Reg Output - Commissioned'!H7/45</f>
        <v/>
      </c>
      <c r="N30" s="44">
        <f>'Reg Output - Commissioned'!H7/45</f>
        <v/>
      </c>
      <c r="O30" s="44">
        <f>'Reg Output - Commissioned'!H7/45</f>
        <v/>
      </c>
      <c r="P30" s="44">
        <f>'Reg Output - Commissioned'!H7/45</f>
        <v/>
      </c>
    </row>
    <row r="31">
      <c r="A31" s="17" t="inlineStr">
        <is>
          <t xml:space="preserve">    Vintage FY2026E</t>
        </is>
      </c>
      <c r="B31" s="26" t="n">
        <v>0</v>
      </c>
      <c r="C31" s="26" t="n">
        <v>0</v>
      </c>
      <c r="D31" s="26" t="n">
        <v>0</v>
      </c>
      <c r="E31" s="26" t="n">
        <v>0</v>
      </c>
      <c r="F31" s="26" t="n">
        <v>0</v>
      </c>
      <c r="G31" s="44" t="n">
        <v>0</v>
      </c>
      <c r="H31" s="44" t="n">
        <v>0</v>
      </c>
      <c r="I31" s="44">
        <f>'Reg Output - Commissioned'!I7/45</f>
        <v/>
      </c>
      <c r="J31" s="44">
        <f>'Reg Output - Commissioned'!I7/45</f>
        <v/>
      </c>
      <c r="K31" s="44">
        <f>'Reg Output - Commissioned'!I7/45</f>
        <v/>
      </c>
      <c r="L31" s="44">
        <f>'Reg Output - Commissioned'!I7/45</f>
        <v/>
      </c>
      <c r="M31" s="44">
        <f>'Reg Output - Commissioned'!I7/45</f>
        <v/>
      </c>
      <c r="N31" s="44">
        <f>'Reg Output - Commissioned'!I7/45</f>
        <v/>
      </c>
      <c r="O31" s="44">
        <f>'Reg Output - Commissioned'!I7/45</f>
        <v/>
      </c>
      <c r="P31" s="44">
        <f>'Reg Output - Commissioned'!I7/45</f>
        <v/>
      </c>
    </row>
    <row r="32">
      <c r="A32" s="17" t="inlineStr">
        <is>
          <t xml:space="preserve">    Vintage FY2027E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44" t="n">
        <v>0</v>
      </c>
      <c r="H32" s="44" t="n">
        <v>0</v>
      </c>
      <c r="I32" s="44" t="n">
        <v>0</v>
      </c>
      <c r="J32" s="44">
        <f>'Reg Output - Commissioned'!J7/45</f>
        <v/>
      </c>
      <c r="K32" s="44">
        <f>'Reg Output - Commissioned'!J7/45</f>
        <v/>
      </c>
      <c r="L32" s="44">
        <f>'Reg Output - Commissioned'!J7/45</f>
        <v/>
      </c>
      <c r="M32" s="44">
        <f>'Reg Output - Commissioned'!J7/45</f>
        <v/>
      </c>
      <c r="N32" s="44">
        <f>'Reg Output - Commissioned'!J7/45</f>
        <v/>
      </c>
      <c r="O32" s="44">
        <f>'Reg Output - Commissioned'!J7/45</f>
        <v/>
      </c>
      <c r="P32" s="44">
        <f>'Reg Output - Commissioned'!J7/45</f>
        <v/>
      </c>
    </row>
    <row r="33">
      <c r="A33" s="17" t="inlineStr">
        <is>
          <t xml:space="preserve">    Vintage FY2028E</t>
        </is>
      </c>
      <c r="B33" s="26" t="n">
        <v>0</v>
      </c>
      <c r="C33" s="26" t="n">
        <v>0</v>
      </c>
      <c r="D33" s="26" t="n">
        <v>0</v>
      </c>
      <c r="E33" s="26" t="n">
        <v>0</v>
      </c>
      <c r="F33" s="26" t="n">
        <v>0</v>
      </c>
      <c r="G33" s="44" t="n">
        <v>0</v>
      </c>
      <c r="H33" s="44" t="n">
        <v>0</v>
      </c>
      <c r="I33" s="44" t="n">
        <v>0</v>
      </c>
      <c r="J33" s="44" t="n">
        <v>0</v>
      </c>
      <c r="K33" s="44">
        <f>'Reg Output - Commissioned'!K7/45</f>
        <v/>
      </c>
      <c r="L33" s="44">
        <f>'Reg Output - Commissioned'!K7/45</f>
        <v/>
      </c>
      <c r="M33" s="44">
        <f>'Reg Output - Commissioned'!K7/45</f>
        <v/>
      </c>
      <c r="N33" s="44">
        <f>'Reg Output - Commissioned'!K7/45</f>
        <v/>
      </c>
      <c r="O33" s="44">
        <f>'Reg Output - Commissioned'!K7/45</f>
        <v/>
      </c>
      <c r="P33" s="44">
        <f>'Reg Output - Commissioned'!K7/45</f>
        <v/>
      </c>
    </row>
    <row r="34">
      <c r="A34" s="17" t="inlineStr">
        <is>
          <t xml:space="preserve">    Vintage FY2029E</t>
        </is>
      </c>
      <c r="B34" s="26" t="n">
        <v>0</v>
      </c>
      <c r="C34" s="26" t="n">
        <v>0</v>
      </c>
      <c r="D34" s="26" t="n">
        <v>0</v>
      </c>
      <c r="E34" s="26" t="n">
        <v>0</v>
      </c>
      <c r="F34" s="26" t="n">
        <v>0</v>
      </c>
      <c r="G34" s="44" t="n">
        <v>0</v>
      </c>
      <c r="H34" s="44" t="n">
        <v>0</v>
      </c>
      <c r="I34" s="44" t="n">
        <v>0</v>
      </c>
      <c r="J34" s="44" t="n">
        <v>0</v>
      </c>
      <c r="K34" s="44" t="n">
        <v>0</v>
      </c>
      <c r="L34" s="44">
        <f>'Reg Output - Commissioned'!L7/45</f>
        <v/>
      </c>
      <c r="M34" s="44">
        <f>'Reg Output - Commissioned'!L7/45</f>
        <v/>
      </c>
      <c r="N34" s="44">
        <f>'Reg Output - Commissioned'!L7/45</f>
        <v/>
      </c>
      <c r="O34" s="44">
        <f>'Reg Output - Commissioned'!L7/45</f>
        <v/>
      </c>
      <c r="P34" s="44">
        <f>'Reg Output - Commissioned'!L7/45</f>
        <v/>
      </c>
    </row>
    <row r="35">
      <c r="A35" s="17" t="inlineStr">
        <is>
          <t xml:space="preserve">    Vintage FY2030E</t>
        </is>
      </c>
      <c r="B35" s="26" t="n">
        <v>0</v>
      </c>
      <c r="C35" s="26" t="n">
        <v>0</v>
      </c>
      <c r="D35" s="26" t="n">
        <v>0</v>
      </c>
      <c r="E35" s="26" t="n">
        <v>0</v>
      </c>
      <c r="F35" s="26" t="n">
        <v>0</v>
      </c>
      <c r="G35" s="44" t="n">
        <v>0</v>
      </c>
      <c r="H35" s="44" t="n">
        <v>0</v>
      </c>
      <c r="I35" s="44" t="n">
        <v>0</v>
      </c>
      <c r="J35" s="44" t="n">
        <v>0</v>
      </c>
      <c r="K35" s="44" t="n">
        <v>0</v>
      </c>
      <c r="L35" s="44" t="n">
        <v>0</v>
      </c>
      <c r="M35" s="44">
        <f>'Reg Output - Commissioned'!M7/45</f>
        <v/>
      </c>
      <c r="N35" s="44">
        <f>'Reg Output - Commissioned'!M7/45</f>
        <v/>
      </c>
      <c r="O35" s="44">
        <f>'Reg Output - Commissioned'!M7/45</f>
        <v/>
      </c>
      <c r="P35" s="44">
        <f>'Reg Output - Commissioned'!M7/45</f>
        <v/>
      </c>
    </row>
    <row r="36">
      <c r="A36" s="17" t="inlineStr">
        <is>
          <t xml:space="preserve">    Vintage FY2031E</t>
        </is>
      </c>
      <c r="B36" s="26" t="n">
        <v>0</v>
      </c>
      <c r="C36" s="26" t="n">
        <v>0</v>
      </c>
      <c r="D36" s="26" t="n">
        <v>0</v>
      </c>
      <c r="E36" s="26" t="n">
        <v>0</v>
      </c>
      <c r="F36" s="26" t="n">
        <v>0</v>
      </c>
      <c r="G36" s="44" t="n">
        <v>0</v>
      </c>
      <c r="H36" s="44" t="n">
        <v>0</v>
      </c>
      <c r="I36" s="44" t="n">
        <v>0</v>
      </c>
      <c r="J36" s="44" t="n">
        <v>0</v>
      </c>
      <c r="K36" s="44" t="n">
        <v>0</v>
      </c>
      <c r="L36" s="44" t="n">
        <v>0</v>
      </c>
      <c r="M36" s="44" t="n">
        <v>0</v>
      </c>
      <c r="N36" s="44">
        <f>'Reg Output - Commissioned'!N7/45</f>
        <v/>
      </c>
      <c r="O36" s="44">
        <f>'Reg Output - Commissioned'!N7/45</f>
        <v/>
      </c>
      <c r="P36" s="44">
        <f>'Reg Output - Commissioned'!N7/45</f>
        <v/>
      </c>
    </row>
    <row r="37">
      <c r="A37" s="17" t="inlineStr">
        <is>
          <t xml:space="preserve">    Vintage FY2032E</t>
        </is>
      </c>
      <c r="B37" s="26" t="n">
        <v>0</v>
      </c>
      <c r="C37" s="26" t="n">
        <v>0</v>
      </c>
      <c r="D37" s="26" t="n">
        <v>0</v>
      </c>
      <c r="E37" s="26" t="n">
        <v>0</v>
      </c>
      <c r="F37" s="26" t="n">
        <v>0</v>
      </c>
      <c r="G37" s="44" t="n">
        <v>0</v>
      </c>
      <c r="H37" s="44" t="n">
        <v>0</v>
      </c>
      <c r="I37" s="44" t="n">
        <v>0</v>
      </c>
      <c r="J37" s="44" t="n">
        <v>0</v>
      </c>
      <c r="K37" s="44" t="n">
        <v>0</v>
      </c>
      <c r="L37" s="44" t="n">
        <v>0</v>
      </c>
      <c r="M37" s="44" t="n">
        <v>0</v>
      </c>
      <c r="N37" s="44" t="n">
        <v>0</v>
      </c>
      <c r="O37" s="44">
        <f>'Reg Output - Commissioned'!O7/45</f>
        <v/>
      </c>
      <c r="P37" s="44">
        <f>'Reg Output - Commissioned'!O7/45</f>
        <v/>
      </c>
    </row>
    <row r="38">
      <c r="A38" s="17" t="inlineStr">
        <is>
          <t xml:space="preserve">    Vintage FY2033E</t>
        </is>
      </c>
      <c r="B38" s="26" t="n">
        <v>0</v>
      </c>
      <c r="C38" s="26" t="n">
        <v>0</v>
      </c>
      <c r="D38" s="26" t="n">
        <v>0</v>
      </c>
      <c r="E38" s="26" t="n">
        <v>0</v>
      </c>
      <c r="F38" s="26" t="n">
        <v>0</v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4" t="n">
        <v>0</v>
      </c>
      <c r="M38" s="44" t="n">
        <v>0</v>
      </c>
      <c r="N38" s="44" t="n">
        <v>0</v>
      </c>
      <c r="O38" s="44" t="n">
        <v>0</v>
      </c>
      <c r="P38" s="44">
        <f>'Reg Output - Commissioned'!P7/45</f>
        <v/>
      </c>
    </row>
    <row r="39">
      <c r="A39" s="17" t="inlineStr">
        <is>
          <t xml:space="preserve">    AC3 Total Depn</t>
        </is>
      </c>
      <c r="B39" s="43">
        <f>SUM(B29:B38)</f>
        <v/>
      </c>
      <c r="C39" s="43">
        <f>SUM(C29:C38)</f>
        <v/>
      </c>
      <c r="D39" s="43">
        <f>SUM(D29:D38)</f>
        <v/>
      </c>
      <c r="E39" s="43">
        <f>SUM(E29:E38)</f>
        <v/>
      </c>
      <c r="F39" s="43">
        <f>SUM(F29:F38)</f>
        <v/>
      </c>
      <c r="G39" s="43">
        <f>SUM(G29:G38)</f>
        <v/>
      </c>
      <c r="H39" s="43">
        <f>SUM(H29:H38)</f>
        <v/>
      </c>
      <c r="I39" s="43">
        <f>SUM(I29:I38)</f>
        <v/>
      </c>
      <c r="J39" s="43">
        <f>SUM(J29:J38)</f>
        <v/>
      </c>
      <c r="K39" s="43">
        <f>SUM(K29:K38)</f>
        <v/>
      </c>
      <c r="L39" s="43">
        <f>SUM(L29:L38)</f>
        <v/>
      </c>
      <c r="M39" s="43">
        <f>SUM(M29:M38)</f>
        <v/>
      </c>
      <c r="N39" s="43">
        <f>SUM(N29:N38)</f>
        <v/>
      </c>
      <c r="O39" s="43">
        <f>SUM(O29:O38)</f>
        <v/>
      </c>
      <c r="P39" s="43">
        <f>SUM(P29:P38)</f>
        <v/>
      </c>
    </row>
    <row r="40">
      <c r="A40" s="15" t="inlineStr">
        <is>
          <t>AC4  Power Transformers  |  Useful Life: 45yr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</row>
    <row r="41">
      <c r="A41" s="17" t="inlineStr">
        <is>
          <t xml:space="preserve">    Vintage FY2024E</t>
        </is>
      </c>
      <c r="B41" s="26" t="n">
        <v>0</v>
      </c>
      <c r="C41" s="26" t="n">
        <v>0</v>
      </c>
      <c r="D41" s="26" t="n">
        <v>0</v>
      </c>
      <c r="E41" s="26" t="n">
        <v>0</v>
      </c>
      <c r="F41" s="26" t="n">
        <v>0</v>
      </c>
      <c r="G41" s="44">
        <f>'Reg Output - Commissioned'!G8/45</f>
        <v/>
      </c>
      <c r="H41" s="44">
        <f>'Reg Output - Commissioned'!G8/45</f>
        <v/>
      </c>
      <c r="I41" s="44">
        <f>'Reg Output - Commissioned'!G8/45</f>
        <v/>
      </c>
      <c r="J41" s="44">
        <f>'Reg Output - Commissioned'!G8/45</f>
        <v/>
      </c>
      <c r="K41" s="44">
        <f>'Reg Output - Commissioned'!G8/45</f>
        <v/>
      </c>
      <c r="L41" s="44">
        <f>'Reg Output - Commissioned'!G8/45</f>
        <v/>
      </c>
      <c r="M41" s="44">
        <f>'Reg Output - Commissioned'!G8/45</f>
        <v/>
      </c>
      <c r="N41" s="44">
        <f>'Reg Output - Commissioned'!G8/45</f>
        <v/>
      </c>
      <c r="O41" s="44">
        <f>'Reg Output - Commissioned'!G8/45</f>
        <v/>
      </c>
      <c r="P41" s="44">
        <f>'Reg Output - Commissioned'!G8/45</f>
        <v/>
      </c>
    </row>
    <row r="42">
      <c r="A42" s="17" t="inlineStr">
        <is>
          <t xml:space="preserve">    Vintage FY2025E</t>
        </is>
      </c>
      <c r="B42" s="26" t="n">
        <v>0</v>
      </c>
      <c r="C42" s="26" t="n">
        <v>0</v>
      </c>
      <c r="D42" s="26" t="n">
        <v>0</v>
      </c>
      <c r="E42" s="26" t="n">
        <v>0</v>
      </c>
      <c r="F42" s="26" t="n">
        <v>0</v>
      </c>
      <c r="G42" s="44" t="n">
        <v>0</v>
      </c>
      <c r="H42" s="44">
        <f>'Reg Output - Commissioned'!H8/45</f>
        <v/>
      </c>
      <c r="I42" s="44">
        <f>'Reg Output - Commissioned'!H8/45</f>
        <v/>
      </c>
      <c r="J42" s="44">
        <f>'Reg Output - Commissioned'!H8/45</f>
        <v/>
      </c>
      <c r="K42" s="44">
        <f>'Reg Output - Commissioned'!H8/45</f>
        <v/>
      </c>
      <c r="L42" s="44">
        <f>'Reg Output - Commissioned'!H8/45</f>
        <v/>
      </c>
      <c r="M42" s="44">
        <f>'Reg Output - Commissioned'!H8/45</f>
        <v/>
      </c>
      <c r="N42" s="44">
        <f>'Reg Output - Commissioned'!H8/45</f>
        <v/>
      </c>
      <c r="O42" s="44">
        <f>'Reg Output - Commissioned'!H8/45</f>
        <v/>
      </c>
      <c r="P42" s="44">
        <f>'Reg Output - Commissioned'!H8/45</f>
        <v/>
      </c>
    </row>
    <row r="43">
      <c r="A43" s="17" t="inlineStr">
        <is>
          <t xml:space="preserve">    Vintage FY2026E</t>
        </is>
      </c>
      <c r="B43" s="26" t="n">
        <v>0</v>
      </c>
      <c r="C43" s="26" t="n">
        <v>0</v>
      </c>
      <c r="D43" s="26" t="n">
        <v>0</v>
      </c>
      <c r="E43" s="26" t="n">
        <v>0</v>
      </c>
      <c r="F43" s="26" t="n">
        <v>0</v>
      </c>
      <c r="G43" s="44" t="n">
        <v>0</v>
      </c>
      <c r="H43" s="44" t="n">
        <v>0</v>
      </c>
      <c r="I43" s="44">
        <f>'Reg Output - Commissioned'!I8/45</f>
        <v/>
      </c>
      <c r="J43" s="44">
        <f>'Reg Output - Commissioned'!I8/45</f>
        <v/>
      </c>
      <c r="K43" s="44">
        <f>'Reg Output - Commissioned'!I8/45</f>
        <v/>
      </c>
      <c r="L43" s="44">
        <f>'Reg Output - Commissioned'!I8/45</f>
        <v/>
      </c>
      <c r="M43" s="44">
        <f>'Reg Output - Commissioned'!I8/45</f>
        <v/>
      </c>
      <c r="N43" s="44">
        <f>'Reg Output - Commissioned'!I8/45</f>
        <v/>
      </c>
      <c r="O43" s="44">
        <f>'Reg Output - Commissioned'!I8/45</f>
        <v/>
      </c>
      <c r="P43" s="44">
        <f>'Reg Output - Commissioned'!I8/45</f>
        <v/>
      </c>
    </row>
    <row r="44">
      <c r="A44" s="17" t="inlineStr">
        <is>
          <t xml:space="preserve">    Vintage FY2027E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  <c r="G44" s="44" t="n">
        <v>0</v>
      </c>
      <c r="H44" s="44" t="n">
        <v>0</v>
      </c>
      <c r="I44" s="44" t="n">
        <v>0</v>
      </c>
      <c r="J44" s="44">
        <f>'Reg Output - Commissioned'!J8/45</f>
        <v/>
      </c>
      <c r="K44" s="44">
        <f>'Reg Output - Commissioned'!J8/45</f>
        <v/>
      </c>
      <c r="L44" s="44">
        <f>'Reg Output - Commissioned'!J8/45</f>
        <v/>
      </c>
      <c r="M44" s="44">
        <f>'Reg Output - Commissioned'!J8/45</f>
        <v/>
      </c>
      <c r="N44" s="44">
        <f>'Reg Output - Commissioned'!J8/45</f>
        <v/>
      </c>
      <c r="O44" s="44">
        <f>'Reg Output - Commissioned'!J8/45</f>
        <v/>
      </c>
      <c r="P44" s="44">
        <f>'Reg Output - Commissioned'!J8/45</f>
        <v/>
      </c>
    </row>
    <row r="45">
      <c r="A45" s="17" t="inlineStr">
        <is>
          <t xml:space="preserve">    Vintage FY2028E</t>
        </is>
      </c>
      <c r="B45" s="26" t="n">
        <v>0</v>
      </c>
      <c r="C45" s="26" t="n">
        <v>0</v>
      </c>
      <c r="D45" s="26" t="n">
        <v>0</v>
      </c>
      <c r="E45" s="26" t="n">
        <v>0</v>
      </c>
      <c r="F45" s="26" t="n">
        <v>0</v>
      </c>
      <c r="G45" s="44" t="n">
        <v>0</v>
      </c>
      <c r="H45" s="44" t="n">
        <v>0</v>
      </c>
      <c r="I45" s="44" t="n">
        <v>0</v>
      </c>
      <c r="J45" s="44" t="n">
        <v>0</v>
      </c>
      <c r="K45" s="44">
        <f>'Reg Output - Commissioned'!K8/45</f>
        <v/>
      </c>
      <c r="L45" s="44">
        <f>'Reg Output - Commissioned'!K8/45</f>
        <v/>
      </c>
      <c r="M45" s="44">
        <f>'Reg Output - Commissioned'!K8/45</f>
        <v/>
      </c>
      <c r="N45" s="44">
        <f>'Reg Output - Commissioned'!K8/45</f>
        <v/>
      </c>
      <c r="O45" s="44">
        <f>'Reg Output - Commissioned'!K8/45</f>
        <v/>
      </c>
      <c r="P45" s="44">
        <f>'Reg Output - Commissioned'!K8/45</f>
        <v/>
      </c>
    </row>
    <row r="46">
      <c r="A46" s="17" t="inlineStr">
        <is>
          <t xml:space="preserve">    Vintage FY2029E</t>
        </is>
      </c>
      <c r="B46" s="26" t="n">
        <v>0</v>
      </c>
      <c r="C46" s="26" t="n">
        <v>0</v>
      </c>
      <c r="D46" s="26" t="n">
        <v>0</v>
      </c>
      <c r="E46" s="26" t="n">
        <v>0</v>
      </c>
      <c r="F46" s="26" t="n">
        <v>0</v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>
        <f>'Reg Output - Commissioned'!L8/45</f>
        <v/>
      </c>
      <c r="M46" s="44">
        <f>'Reg Output - Commissioned'!L8/45</f>
        <v/>
      </c>
      <c r="N46" s="44">
        <f>'Reg Output - Commissioned'!L8/45</f>
        <v/>
      </c>
      <c r="O46" s="44">
        <f>'Reg Output - Commissioned'!L8/45</f>
        <v/>
      </c>
      <c r="P46" s="44">
        <f>'Reg Output - Commissioned'!L8/45</f>
        <v/>
      </c>
    </row>
    <row r="47">
      <c r="A47" s="17" t="inlineStr">
        <is>
          <t xml:space="preserve">    Vintage FY2030E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0</v>
      </c>
      <c r="M47" s="44">
        <f>'Reg Output - Commissioned'!M8/45</f>
        <v/>
      </c>
      <c r="N47" s="44">
        <f>'Reg Output - Commissioned'!M8/45</f>
        <v/>
      </c>
      <c r="O47" s="44">
        <f>'Reg Output - Commissioned'!M8/45</f>
        <v/>
      </c>
      <c r="P47" s="44">
        <f>'Reg Output - Commissioned'!M8/45</f>
        <v/>
      </c>
    </row>
    <row r="48">
      <c r="A48" s="17" t="inlineStr">
        <is>
          <t xml:space="preserve">    Vintage FY2031E</t>
        </is>
      </c>
      <c r="B48" s="26" t="n">
        <v>0</v>
      </c>
      <c r="C48" s="26" t="n">
        <v>0</v>
      </c>
      <c r="D48" s="26" t="n">
        <v>0</v>
      </c>
      <c r="E48" s="26" t="n">
        <v>0</v>
      </c>
      <c r="F48" s="26" t="n">
        <v>0</v>
      </c>
      <c r="G48" s="44" t="n">
        <v>0</v>
      </c>
      <c r="H48" s="44" t="n">
        <v>0</v>
      </c>
      <c r="I48" s="44" t="n">
        <v>0</v>
      </c>
      <c r="J48" s="44" t="n">
        <v>0</v>
      </c>
      <c r="K48" s="44" t="n">
        <v>0</v>
      </c>
      <c r="L48" s="44" t="n">
        <v>0</v>
      </c>
      <c r="M48" s="44" t="n">
        <v>0</v>
      </c>
      <c r="N48" s="44">
        <f>'Reg Output - Commissioned'!N8/45</f>
        <v/>
      </c>
      <c r="O48" s="44">
        <f>'Reg Output - Commissioned'!N8/45</f>
        <v/>
      </c>
      <c r="P48" s="44">
        <f>'Reg Output - Commissioned'!N8/45</f>
        <v/>
      </c>
    </row>
    <row r="49">
      <c r="A49" s="17" t="inlineStr">
        <is>
          <t xml:space="preserve">    Vintage FY2032E</t>
        </is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44" t="n">
        <v>0</v>
      </c>
      <c r="H49" s="44" t="n">
        <v>0</v>
      </c>
      <c r="I49" s="44" t="n">
        <v>0</v>
      </c>
      <c r="J49" s="44" t="n">
        <v>0</v>
      </c>
      <c r="K49" s="44" t="n">
        <v>0</v>
      </c>
      <c r="L49" s="44" t="n">
        <v>0</v>
      </c>
      <c r="M49" s="44" t="n">
        <v>0</v>
      </c>
      <c r="N49" s="44" t="n">
        <v>0</v>
      </c>
      <c r="O49" s="44">
        <f>'Reg Output - Commissioned'!O8/45</f>
        <v/>
      </c>
      <c r="P49" s="44">
        <f>'Reg Output - Commissioned'!O8/45</f>
        <v/>
      </c>
    </row>
    <row r="50">
      <c r="A50" s="17" t="inlineStr">
        <is>
          <t xml:space="preserve">    Vintage FY2033E</t>
        </is>
      </c>
      <c r="B50" s="26" t="n">
        <v>0</v>
      </c>
      <c r="C50" s="26" t="n">
        <v>0</v>
      </c>
      <c r="D50" s="26" t="n">
        <v>0</v>
      </c>
      <c r="E50" s="26" t="n">
        <v>0</v>
      </c>
      <c r="F50" s="26" t="n">
        <v>0</v>
      </c>
      <c r="G50" s="44" t="n">
        <v>0</v>
      </c>
      <c r="H50" s="44" t="n">
        <v>0</v>
      </c>
      <c r="I50" s="44" t="n">
        <v>0</v>
      </c>
      <c r="J50" s="44" t="n">
        <v>0</v>
      </c>
      <c r="K50" s="44" t="n">
        <v>0</v>
      </c>
      <c r="L50" s="44" t="n">
        <v>0</v>
      </c>
      <c r="M50" s="44" t="n">
        <v>0</v>
      </c>
      <c r="N50" s="44" t="n">
        <v>0</v>
      </c>
      <c r="O50" s="44" t="n">
        <v>0</v>
      </c>
      <c r="P50" s="44">
        <f>'Reg Output - Commissioned'!P8/45</f>
        <v/>
      </c>
    </row>
    <row r="51">
      <c r="A51" s="17" t="inlineStr">
        <is>
          <t xml:space="preserve">    AC4 Total Depn</t>
        </is>
      </c>
      <c r="B51" s="43">
        <f>SUM(B41:B50)</f>
        <v/>
      </c>
      <c r="C51" s="43">
        <f>SUM(C41:C50)</f>
        <v/>
      </c>
      <c r="D51" s="43">
        <f>SUM(D41:D50)</f>
        <v/>
      </c>
      <c r="E51" s="43">
        <f>SUM(E41:E50)</f>
        <v/>
      </c>
      <c r="F51" s="43">
        <f>SUM(F41:F50)</f>
        <v/>
      </c>
      <c r="G51" s="43">
        <f>SUM(G41:G50)</f>
        <v/>
      </c>
      <c r="H51" s="43">
        <f>SUM(H41:H50)</f>
        <v/>
      </c>
      <c r="I51" s="43">
        <f>SUM(I41:I50)</f>
        <v/>
      </c>
      <c r="J51" s="43">
        <f>SUM(J41:J50)</f>
        <v/>
      </c>
      <c r="K51" s="43">
        <f>SUM(K41:K50)</f>
        <v/>
      </c>
      <c r="L51" s="43">
        <f>SUM(L41:L50)</f>
        <v/>
      </c>
      <c r="M51" s="43">
        <f>SUM(M41:M50)</f>
        <v/>
      </c>
      <c r="N51" s="43">
        <f>SUM(N41:N50)</f>
        <v/>
      </c>
      <c r="O51" s="43">
        <f>SUM(O41:O50)</f>
        <v/>
      </c>
      <c r="P51" s="43">
        <f>SUM(P41:P50)</f>
        <v/>
      </c>
    </row>
    <row r="52">
      <c r="A52" s="15" t="inlineStr">
        <is>
          <t>AC5  Switchgear  |  Useful Life: 45yr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</row>
    <row r="53">
      <c r="A53" s="17" t="inlineStr">
        <is>
          <t xml:space="preserve">    Vintage FY2024E</t>
        </is>
      </c>
      <c r="B53" s="26" t="n">
        <v>0</v>
      </c>
      <c r="C53" s="26" t="n">
        <v>0</v>
      </c>
      <c r="D53" s="26" t="n">
        <v>0</v>
      </c>
      <c r="E53" s="26" t="n">
        <v>0</v>
      </c>
      <c r="F53" s="26" t="n">
        <v>0</v>
      </c>
      <c r="G53" s="44">
        <f>'Reg Output - Commissioned'!G9/45</f>
        <v/>
      </c>
      <c r="H53" s="44">
        <f>'Reg Output - Commissioned'!G9/45</f>
        <v/>
      </c>
      <c r="I53" s="44">
        <f>'Reg Output - Commissioned'!G9/45</f>
        <v/>
      </c>
      <c r="J53" s="44">
        <f>'Reg Output - Commissioned'!G9/45</f>
        <v/>
      </c>
      <c r="K53" s="44">
        <f>'Reg Output - Commissioned'!G9/45</f>
        <v/>
      </c>
      <c r="L53" s="44">
        <f>'Reg Output - Commissioned'!G9/45</f>
        <v/>
      </c>
      <c r="M53" s="44">
        <f>'Reg Output - Commissioned'!G9/45</f>
        <v/>
      </c>
      <c r="N53" s="44">
        <f>'Reg Output - Commissioned'!G9/45</f>
        <v/>
      </c>
      <c r="O53" s="44">
        <f>'Reg Output - Commissioned'!G9/45</f>
        <v/>
      </c>
      <c r="P53" s="44">
        <f>'Reg Output - Commissioned'!G9/45</f>
        <v/>
      </c>
    </row>
    <row r="54">
      <c r="A54" s="17" t="inlineStr">
        <is>
          <t xml:space="preserve">    Vintage FY2025E</t>
        </is>
      </c>
      <c r="B54" s="26" t="n">
        <v>0</v>
      </c>
      <c r="C54" s="26" t="n">
        <v>0</v>
      </c>
      <c r="D54" s="26" t="n">
        <v>0</v>
      </c>
      <c r="E54" s="26" t="n">
        <v>0</v>
      </c>
      <c r="F54" s="26" t="n">
        <v>0</v>
      </c>
      <c r="G54" s="44" t="n">
        <v>0</v>
      </c>
      <c r="H54" s="44">
        <f>'Reg Output - Commissioned'!H9/45</f>
        <v/>
      </c>
      <c r="I54" s="44">
        <f>'Reg Output - Commissioned'!H9/45</f>
        <v/>
      </c>
      <c r="J54" s="44">
        <f>'Reg Output - Commissioned'!H9/45</f>
        <v/>
      </c>
      <c r="K54" s="44">
        <f>'Reg Output - Commissioned'!H9/45</f>
        <v/>
      </c>
      <c r="L54" s="44">
        <f>'Reg Output - Commissioned'!H9/45</f>
        <v/>
      </c>
      <c r="M54" s="44">
        <f>'Reg Output - Commissioned'!H9/45</f>
        <v/>
      </c>
      <c r="N54" s="44">
        <f>'Reg Output - Commissioned'!H9/45</f>
        <v/>
      </c>
      <c r="O54" s="44">
        <f>'Reg Output - Commissioned'!H9/45</f>
        <v/>
      </c>
      <c r="P54" s="44">
        <f>'Reg Output - Commissioned'!H9/45</f>
        <v/>
      </c>
    </row>
    <row r="55">
      <c r="A55" s="17" t="inlineStr">
        <is>
          <t xml:space="preserve">    Vintage FY2026E</t>
        </is>
      </c>
      <c r="B55" s="26" t="n">
        <v>0</v>
      </c>
      <c r="C55" s="26" t="n">
        <v>0</v>
      </c>
      <c r="D55" s="26" t="n">
        <v>0</v>
      </c>
      <c r="E55" s="26" t="n">
        <v>0</v>
      </c>
      <c r="F55" s="26" t="n">
        <v>0</v>
      </c>
      <c r="G55" s="44" t="n">
        <v>0</v>
      </c>
      <c r="H55" s="44" t="n">
        <v>0</v>
      </c>
      <c r="I55" s="44">
        <f>'Reg Output - Commissioned'!I9/45</f>
        <v/>
      </c>
      <c r="J55" s="44">
        <f>'Reg Output - Commissioned'!I9/45</f>
        <v/>
      </c>
      <c r="K55" s="44">
        <f>'Reg Output - Commissioned'!I9/45</f>
        <v/>
      </c>
      <c r="L55" s="44">
        <f>'Reg Output - Commissioned'!I9/45</f>
        <v/>
      </c>
      <c r="M55" s="44">
        <f>'Reg Output - Commissioned'!I9/45</f>
        <v/>
      </c>
      <c r="N55" s="44">
        <f>'Reg Output - Commissioned'!I9/45</f>
        <v/>
      </c>
      <c r="O55" s="44">
        <f>'Reg Output - Commissioned'!I9/45</f>
        <v/>
      </c>
      <c r="P55" s="44">
        <f>'Reg Output - Commissioned'!I9/45</f>
        <v/>
      </c>
    </row>
    <row r="56">
      <c r="A56" s="17" t="inlineStr">
        <is>
          <t xml:space="preserve">    Vintage FY2027E</t>
        </is>
      </c>
      <c r="B56" s="26" t="n">
        <v>0</v>
      </c>
      <c r="C56" s="26" t="n">
        <v>0</v>
      </c>
      <c r="D56" s="26" t="n">
        <v>0</v>
      </c>
      <c r="E56" s="26" t="n">
        <v>0</v>
      </c>
      <c r="F56" s="26" t="n">
        <v>0</v>
      </c>
      <c r="G56" s="44" t="n">
        <v>0</v>
      </c>
      <c r="H56" s="44" t="n">
        <v>0</v>
      </c>
      <c r="I56" s="44" t="n">
        <v>0</v>
      </c>
      <c r="J56" s="44">
        <f>'Reg Output - Commissioned'!J9/45</f>
        <v/>
      </c>
      <c r="K56" s="44">
        <f>'Reg Output - Commissioned'!J9/45</f>
        <v/>
      </c>
      <c r="L56" s="44">
        <f>'Reg Output - Commissioned'!J9/45</f>
        <v/>
      </c>
      <c r="M56" s="44">
        <f>'Reg Output - Commissioned'!J9/45</f>
        <v/>
      </c>
      <c r="N56" s="44">
        <f>'Reg Output - Commissioned'!J9/45</f>
        <v/>
      </c>
      <c r="O56" s="44">
        <f>'Reg Output - Commissioned'!J9/45</f>
        <v/>
      </c>
      <c r="P56" s="44">
        <f>'Reg Output - Commissioned'!J9/45</f>
        <v/>
      </c>
    </row>
    <row r="57">
      <c r="A57" s="17" t="inlineStr">
        <is>
          <t xml:space="preserve">    Vintage FY2028E</t>
        </is>
      </c>
      <c r="B57" s="26" t="n">
        <v>0</v>
      </c>
      <c r="C57" s="26" t="n">
        <v>0</v>
      </c>
      <c r="D57" s="26" t="n">
        <v>0</v>
      </c>
      <c r="E57" s="26" t="n">
        <v>0</v>
      </c>
      <c r="F57" s="26" t="n">
        <v>0</v>
      </c>
      <c r="G57" s="44" t="n">
        <v>0</v>
      </c>
      <c r="H57" s="44" t="n">
        <v>0</v>
      </c>
      <c r="I57" s="44" t="n">
        <v>0</v>
      </c>
      <c r="J57" s="44" t="n">
        <v>0</v>
      </c>
      <c r="K57" s="44">
        <f>'Reg Output - Commissioned'!K9/45</f>
        <v/>
      </c>
      <c r="L57" s="44">
        <f>'Reg Output - Commissioned'!K9/45</f>
        <v/>
      </c>
      <c r="M57" s="44">
        <f>'Reg Output - Commissioned'!K9/45</f>
        <v/>
      </c>
      <c r="N57" s="44">
        <f>'Reg Output - Commissioned'!K9/45</f>
        <v/>
      </c>
      <c r="O57" s="44">
        <f>'Reg Output - Commissioned'!K9/45</f>
        <v/>
      </c>
      <c r="P57" s="44">
        <f>'Reg Output - Commissioned'!K9/45</f>
        <v/>
      </c>
    </row>
    <row r="58">
      <c r="A58" s="17" t="inlineStr">
        <is>
          <t xml:space="preserve">    Vintage FY2029E</t>
        </is>
      </c>
      <c r="B58" s="26" t="n">
        <v>0</v>
      </c>
      <c r="C58" s="26" t="n">
        <v>0</v>
      </c>
      <c r="D58" s="26" t="n">
        <v>0</v>
      </c>
      <c r="E58" s="26" t="n">
        <v>0</v>
      </c>
      <c r="F58" s="26" t="n">
        <v>0</v>
      </c>
      <c r="G58" s="44" t="n">
        <v>0</v>
      </c>
      <c r="H58" s="44" t="n">
        <v>0</v>
      </c>
      <c r="I58" s="44" t="n">
        <v>0</v>
      </c>
      <c r="J58" s="44" t="n">
        <v>0</v>
      </c>
      <c r="K58" s="44" t="n">
        <v>0</v>
      </c>
      <c r="L58" s="44">
        <f>'Reg Output - Commissioned'!L9/45</f>
        <v/>
      </c>
      <c r="M58" s="44">
        <f>'Reg Output - Commissioned'!L9/45</f>
        <v/>
      </c>
      <c r="N58" s="44">
        <f>'Reg Output - Commissioned'!L9/45</f>
        <v/>
      </c>
      <c r="O58" s="44">
        <f>'Reg Output - Commissioned'!L9/45</f>
        <v/>
      </c>
      <c r="P58" s="44">
        <f>'Reg Output - Commissioned'!L9/45</f>
        <v/>
      </c>
    </row>
    <row r="59">
      <c r="A59" s="17" t="inlineStr">
        <is>
          <t xml:space="preserve">    Vintage FY2030E</t>
        </is>
      </c>
      <c r="B59" s="26" t="n">
        <v>0</v>
      </c>
      <c r="C59" s="26" t="n">
        <v>0</v>
      </c>
      <c r="D59" s="26" t="n">
        <v>0</v>
      </c>
      <c r="E59" s="26" t="n">
        <v>0</v>
      </c>
      <c r="F59" s="26" t="n">
        <v>0</v>
      </c>
      <c r="G59" s="44" t="n">
        <v>0</v>
      </c>
      <c r="H59" s="44" t="n">
        <v>0</v>
      </c>
      <c r="I59" s="44" t="n">
        <v>0</v>
      </c>
      <c r="J59" s="44" t="n">
        <v>0</v>
      </c>
      <c r="K59" s="44" t="n">
        <v>0</v>
      </c>
      <c r="L59" s="44" t="n">
        <v>0</v>
      </c>
      <c r="M59" s="44">
        <f>'Reg Output - Commissioned'!M9/45</f>
        <v/>
      </c>
      <c r="N59" s="44">
        <f>'Reg Output - Commissioned'!M9/45</f>
        <v/>
      </c>
      <c r="O59" s="44">
        <f>'Reg Output - Commissioned'!M9/45</f>
        <v/>
      </c>
      <c r="P59" s="44">
        <f>'Reg Output - Commissioned'!M9/45</f>
        <v/>
      </c>
    </row>
    <row r="60">
      <c r="A60" s="17" t="inlineStr">
        <is>
          <t xml:space="preserve">    Vintage FY2031E</t>
        </is>
      </c>
      <c r="B60" s="26" t="n">
        <v>0</v>
      </c>
      <c r="C60" s="26" t="n">
        <v>0</v>
      </c>
      <c r="D60" s="26" t="n">
        <v>0</v>
      </c>
      <c r="E60" s="26" t="n">
        <v>0</v>
      </c>
      <c r="F60" s="26" t="n">
        <v>0</v>
      </c>
      <c r="G60" s="44" t="n">
        <v>0</v>
      </c>
      <c r="H60" s="44" t="n">
        <v>0</v>
      </c>
      <c r="I60" s="44" t="n">
        <v>0</v>
      </c>
      <c r="J60" s="44" t="n">
        <v>0</v>
      </c>
      <c r="K60" s="44" t="n">
        <v>0</v>
      </c>
      <c r="L60" s="44" t="n">
        <v>0</v>
      </c>
      <c r="M60" s="44" t="n">
        <v>0</v>
      </c>
      <c r="N60" s="44">
        <f>'Reg Output - Commissioned'!N9/45</f>
        <v/>
      </c>
      <c r="O60" s="44">
        <f>'Reg Output - Commissioned'!N9/45</f>
        <v/>
      </c>
      <c r="P60" s="44">
        <f>'Reg Output - Commissioned'!N9/45</f>
        <v/>
      </c>
    </row>
    <row r="61">
      <c r="A61" s="17" t="inlineStr">
        <is>
          <t xml:space="preserve">    Vintage FY2032E</t>
        </is>
      </c>
      <c r="B61" s="26" t="n">
        <v>0</v>
      </c>
      <c r="C61" s="26" t="n">
        <v>0</v>
      </c>
      <c r="D61" s="26" t="n">
        <v>0</v>
      </c>
      <c r="E61" s="26" t="n">
        <v>0</v>
      </c>
      <c r="F61" s="26" t="n">
        <v>0</v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0</v>
      </c>
      <c r="M61" s="44" t="n">
        <v>0</v>
      </c>
      <c r="N61" s="44" t="n">
        <v>0</v>
      </c>
      <c r="O61" s="44">
        <f>'Reg Output - Commissioned'!O9/45</f>
        <v/>
      </c>
      <c r="P61" s="44">
        <f>'Reg Output - Commissioned'!O9/45</f>
        <v/>
      </c>
    </row>
    <row r="62">
      <c r="A62" s="17" t="inlineStr">
        <is>
          <t xml:space="preserve">    Vintage FY2033E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44" t="n">
        <v>0</v>
      </c>
      <c r="H62" s="44" t="n">
        <v>0</v>
      </c>
      <c r="I62" s="44" t="n">
        <v>0</v>
      </c>
      <c r="J62" s="44" t="n">
        <v>0</v>
      </c>
      <c r="K62" s="44" t="n">
        <v>0</v>
      </c>
      <c r="L62" s="44" t="n">
        <v>0</v>
      </c>
      <c r="M62" s="44" t="n">
        <v>0</v>
      </c>
      <c r="N62" s="44" t="n">
        <v>0</v>
      </c>
      <c r="O62" s="44" t="n">
        <v>0</v>
      </c>
      <c r="P62" s="44">
        <f>'Reg Output - Commissioned'!P9/45</f>
        <v/>
      </c>
    </row>
    <row r="63">
      <c r="A63" s="17" t="inlineStr">
        <is>
          <t xml:space="preserve">    AC5 Total Depn</t>
        </is>
      </c>
      <c r="B63" s="43">
        <f>SUM(B53:B62)</f>
        <v/>
      </c>
      <c r="C63" s="43">
        <f>SUM(C53:C62)</f>
        <v/>
      </c>
      <c r="D63" s="43">
        <f>SUM(D53:D62)</f>
        <v/>
      </c>
      <c r="E63" s="43">
        <f>SUM(E53:E62)</f>
        <v/>
      </c>
      <c r="F63" s="43">
        <f>SUM(F53:F62)</f>
        <v/>
      </c>
      <c r="G63" s="43">
        <f>SUM(G53:G62)</f>
        <v/>
      </c>
      <c r="H63" s="43">
        <f>SUM(H53:H62)</f>
        <v/>
      </c>
      <c r="I63" s="43">
        <f>SUM(I53:I62)</f>
        <v/>
      </c>
      <c r="J63" s="43">
        <f>SUM(J53:J62)</f>
        <v/>
      </c>
      <c r="K63" s="43">
        <f>SUM(K53:K62)</f>
        <v/>
      </c>
      <c r="L63" s="43">
        <f>SUM(L53:L62)</f>
        <v/>
      </c>
      <c r="M63" s="43">
        <f>SUM(M53:M62)</f>
        <v/>
      </c>
      <c r="N63" s="43">
        <f>SUM(N53:N62)</f>
        <v/>
      </c>
      <c r="O63" s="43">
        <f>SUM(O53:O62)</f>
        <v/>
      </c>
      <c r="P63" s="43">
        <f>SUM(P53:P62)</f>
        <v/>
      </c>
    </row>
    <row r="64">
      <c r="A64" s="15" t="inlineStr">
        <is>
          <t>AC6  Substation Plant  |  Useful Life: 50yr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>
      <c r="A65" s="17" t="inlineStr">
        <is>
          <t xml:space="preserve">    Vintage FY2024E</t>
        </is>
      </c>
      <c r="B65" s="26" t="n">
        <v>0</v>
      </c>
      <c r="C65" s="26" t="n">
        <v>0</v>
      </c>
      <c r="D65" s="26" t="n">
        <v>0</v>
      </c>
      <c r="E65" s="26" t="n">
        <v>0</v>
      </c>
      <c r="F65" s="26" t="n">
        <v>0</v>
      </c>
      <c r="G65" s="44">
        <f>'Reg Output - Commissioned'!G10/50</f>
        <v/>
      </c>
      <c r="H65" s="44">
        <f>'Reg Output - Commissioned'!G10/50</f>
        <v/>
      </c>
      <c r="I65" s="44">
        <f>'Reg Output - Commissioned'!G10/50</f>
        <v/>
      </c>
      <c r="J65" s="44">
        <f>'Reg Output - Commissioned'!G10/50</f>
        <v/>
      </c>
      <c r="K65" s="44">
        <f>'Reg Output - Commissioned'!G10/50</f>
        <v/>
      </c>
      <c r="L65" s="44">
        <f>'Reg Output - Commissioned'!G10/50</f>
        <v/>
      </c>
      <c r="M65" s="44">
        <f>'Reg Output - Commissioned'!G10/50</f>
        <v/>
      </c>
      <c r="N65" s="44">
        <f>'Reg Output - Commissioned'!G10/50</f>
        <v/>
      </c>
      <c r="O65" s="44">
        <f>'Reg Output - Commissioned'!G10/50</f>
        <v/>
      </c>
      <c r="P65" s="44">
        <f>'Reg Output - Commissioned'!G10/50</f>
        <v/>
      </c>
    </row>
    <row r="66">
      <c r="A66" s="17" t="inlineStr">
        <is>
          <t xml:space="preserve">    Vintage FY2025E</t>
        </is>
      </c>
      <c r="B66" s="26" t="n">
        <v>0</v>
      </c>
      <c r="C66" s="26" t="n">
        <v>0</v>
      </c>
      <c r="D66" s="26" t="n">
        <v>0</v>
      </c>
      <c r="E66" s="26" t="n">
        <v>0</v>
      </c>
      <c r="F66" s="26" t="n">
        <v>0</v>
      </c>
      <c r="G66" s="44" t="n">
        <v>0</v>
      </c>
      <c r="H66" s="44">
        <f>'Reg Output - Commissioned'!H10/50</f>
        <v/>
      </c>
      <c r="I66" s="44">
        <f>'Reg Output - Commissioned'!H10/50</f>
        <v/>
      </c>
      <c r="J66" s="44">
        <f>'Reg Output - Commissioned'!H10/50</f>
        <v/>
      </c>
      <c r="K66" s="44">
        <f>'Reg Output - Commissioned'!H10/50</f>
        <v/>
      </c>
      <c r="L66" s="44">
        <f>'Reg Output - Commissioned'!H10/50</f>
        <v/>
      </c>
      <c r="M66" s="44">
        <f>'Reg Output - Commissioned'!H10/50</f>
        <v/>
      </c>
      <c r="N66" s="44">
        <f>'Reg Output - Commissioned'!H10/50</f>
        <v/>
      </c>
      <c r="O66" s="44">
        <f>'Reg Output - Commissioned'!H10/50</f>
        <v/>
      </c>
      <c r="P66" s="44">
        <f>'Reg Output - Commissioned'!H10/50</f>
        <v/>
      </c>
    </row>
    <row r="67">
      <c r="A67" s="17" t="inlineStr">
        <is>
          <t xml:space="preserve">    Vintage FY2026E</t>
        </is>
      </c>
      <c r="B67" s="26" t="n">
        <v>0</v>
      </c>
      <c r="C67" s="26" t="n">
        <v>0</v>
      </c>
      <c r="D67" s="26" t="n">
        <v>0</v>
      </c>
      <c r="E67" s="26" t="n">
        <v>0</v>
      </c>
      <c r="F67" s="26" t="n">
        <v>0</v>
      </c>
      <c r="G67" s="44" t="n">
        <v>0</v>
      </c>
      <c r="H67" s="44" t="n">
        <v>0</v>
      </c>
      <c r="I67" s="44">
        <f>'Reg Output - Commissioned'!I10/50</f>
        <v/>
      </c>
      <c r="J67" s="44">
        <f>'Reg Output - Commissioned'!I10/50</f>
        <v/>
      </c>
      <c r="K67" s="44">
        <f>'Reg Output - Commissioned'!I10/50</f>
        <v/>
      </c>
      <c r="L67" s="44">
        <f>'Reg Output - Commissioned'!I10/50</f>
        <v/>
      </c>
      <c r="M67" s="44">
        <f>'Reg Output - Commissioned'!I10/50</f>
        <v/>
      </c>
      <c r="N67" s="44">
        <f>'Reg Output - Commissioned'!I10/50</f>
        <v/>
      </c>
      <c r="O67" s="44">
        <f>'Reg Output - Commissioned'!I10/50</f>
        <v/>
      </c>
      <c r="P67" s="44">
        <f>'Reg Output - Commissioned'!I10/50</f>
        <v/>
      </c>
    </row>
    <row r="68">
      <c r="A68" s="17" t="inlineStr">
        <is>
          <t xml:space="preserve">    Vintage FY2027E</t>
        </is>
      </c>
      <c r="B68" s="26" t="n">
        <v>0</v>
      </c>
      <c r="C68" s="26" t="n">
        <v>0</v>
      </c>
      <c r="D68" s="26" t="n">
        <v>0</v>
      </c>
      <c r="E68" s="26" t="n">
        <v>0</v>
      </c>
      <c r="F68" s="26" t="n">
        <v>0</v>
      </c>
      <c r="G68" s="44" t="n">
        <v>0</v>
      </c>
      <c r="H68" s="44" t="n">
        <v>0</v>
      </c>
      <c r="I68" s="44" t="n">
        <v>0</v>
      </c>
      <c r="J68" s="44">
        <f>'Reg Output - Commissioned'!J10/50</f>
        <v/>
      </c>
      <c r="K68" s="44">
        <f>'Reg Output - Commissioned'!J10/50</f>
        <v/>
      </c>
      <c r="L68" s="44">
        <f>'Reg Output - Commissioned'!J10/50</f>
        <v/>
      </c>
      <c r="M68" s="44">
        <f>'Reg Output - Commissioned'!J10/50</f>
        <v/>
      </c>
      <c r="N68" s="44">
        <f>'Reg Output - Commissioned'!J10/50</f>
        <v/>
      </c>
      <c r="O68" s="44">
        <f>'Reg Output - Commissioned'!J10/50</f>
        <v/>
      </c>
      <c r="P68" s="44">
        <f>'Reg Output - Commissioned'!J10/50</f>
        <v/>
      </c>
    </row>
    <row r="69">
      <c r="A69" s="17" t="inlineStr">
        <is>
          <t xml:space="preserve">    Vintage FY2028E</t>
        </is>
      </c>
      <c r="B69" s="26" t="n">
        <v>0</v>
      </c>
      <c r="C69" s="26" t="n">
        <v>0</v>
      </c>
      <c r="D69" s="26" t="n">
        <v>0</v>
      </c>
      <c r="E69" s="26" t="n">
        <v>0</v>
      </c>
      <c r="F69" s="26" t="n">
        <v>0</v>
      </c>
      <c r="G69" s="44" t="n">
        <v>0</v>
      </c>
      <c r="H69" s="44" t="n">
        <v>0</v>
      </c>
      <c r="I69" s="44" t="n">
        <v>0</v>
      </c>
      <c r="J69" s="44" t="n">
        <v>0</v>
      </c>
      <c r="K69" s="44">
        <f>'Reg Output - Commissioned'!K10/50</f>
        <v/>
      </c>
      <c r="L69" s="44">
        <f>'Reg Output - Commissioned'!K10/50</f>
        <v/>
      </c>
      <c r="M69" s="44">
        <f>'Reg Output - Commissioned'!K10/50</f>
        <v/>
      </c>
      <c r="N69" s="44">
        <f>'Reg Output - Commissioned'!K10/50</f>
        <v/>
      </c>
      <c r="O69" s="44">
        <f>'Reg Output - Commissioned'!K10/50</f>
        <v/>
      </c>
      <c r="P69" s="44">
        <f>'Reg Output - Commissioned'!K10/50</f>
        <v/>
      </c>
    </row>
    <row r="70">
      <c r="A70" s="17" t="inlineStr">
        <is>
          <t xml:space="preserve">    Vintage FY2029E</t>
        </is>
      </c>
      <c r="B70" s="26" t="n">
        <v>0</v>
      </c>
      <c r="C70" s="26" t="n">
        <v>0</v>
      </c>
      <c r="D70" s="26" t="n">
        <v>0</v>
      </c>
      <c r="E70" s="26" t="n">
        <v>0</v>
      </c>
      <c r="F70" s="26" t="n">
        <v>0</v>
      </c>
      <c r="G70" s="44" t="n">
        <v>0</v>
      </c>
      <c r="H70" s="44" t="n">
        <v>0</v>
      </c>
      <c r="I70" s="44" t="n">
        <v>0</v>
      </c>
      <c r="J70" s="44" t="n">
        <v>0</v>
      </c>
      <c r="K70" s="44" t="n">
        <v>0</v>
      </c>
      <c r="L70" s="44">
        <f>'Reg Output - Commissioned'!L10/50</f>
        <v/>
      </c>
      <c r="M70" s="44">
        <f>'Reg Output - Commissioned'!L10/50</f>
        <v/>
      </c>
      <c r="N70" s="44">
        <f>'Reg Output - Commissioned'!L10/50</f>
        <v/>
      </c>
      <c r="O70" s="44">
        <f>'Reg Output - Commissioned'!L10/50</f>
        <v/>
      </c>
      <c r="P70" s="44">
        <f>'Reg Output - Commissioned'!L10/50</f>
        <v/>
      </c>
    </row>
    <row r="71">
      <c r="A71" s="17" t="inlineStr">
        <is>
          <t xml:space="preserve">    Vintage FY2030E</t>
        </is>
      </c>
      <c r="B71" s="26" t="n">
        <v>0</v>
      </c>
      <c r="C71" s="26" t="n">
        <v>0</v>
      </c>
      <c r="D71" s="26" t="n">
        <v>0</v>
      </c>
      <c r="E71" s="26" t="n">
        <v>0</v>
      </c>
      <c r="F71" s="26" t="n">
        <v>0</v>
      </c>
      <c r="G71" s="44" t="n">
        <v>0</v>
      </c>
      <c r="H71" s="44" t="n">
        <v>0</v>
      </c>
      <c r="I71" s="44" t="n">
        <v>0</v>
      </c>
      <c r="J71" s="44" t="n">
        <v>0</v>
      </c>
      <c r="K71" s="44" t="n">
        <v>0</v>
      </c>
      <c r="L71" s="44" t="n">
        <v>0</v>
      </c>
      <c r="M71" s="44">
        <f>'Reg Output - Commissioned'!M10/50</f>
        <v/>
      </c>
      <c r="N71" s="44">
        <f>'Reg Output - Commissioned'!M10/50</f>
        <v/>
      </c>
      <c r="O71" s="44">
        <f>'Reg Output - Commissioned'!M10/50</f>
        <v/>
      </c>
      <c r="P71" s="44">
        <f>'Reg Output - Commissioned'!M10/50</f>
        <v/>
      </c>
    </row>
    <row r="72">
      <c r="A72" s="17" t="inlineStr">
        <is>
          <t xml:space="preserve">    Vintage FY2031E</t>
        </is>
      </c>
      <c r="B72" s="26" t="n">
        <v>0</v>
      </c>
      <c r="C72" s="26" t="n">
        <v>0</v>
      </c>
      <c r="D72" s="26" t="n">
        <v>0</v>
      </c>
      <c r="E72" s="26" t="n">
        <v>0</v>
      </c>
      <c r="F72" s="26" t="n">
        <v>0</v>
      </c>
      <c r="G72" s="44" t="n">
        <v>0</v>
      </c>
      <c r="H72" s="44" t="n">
        <v>0</v>
      </c>
      <c r="I72" s="44" t="n">
        <v>0</v>
      </c>
      <c r="J72" s="44" t="n">
        <v>0</v>
      </c>
      <c r="K72" s="44" t="n">
        <v>0</v>
      </c>
      <c r="L72" s="44" t="n">
        <v>0</v>
      </c>
      <c r="M72" s="44" t="n">
        <v>0</v>
      </c>
      <c r="N72" s="44">
        <f>'Reg Output - Commissioned'!N10/50</f>
        <v/>
      </c>
      <c r="O72" s="44">
        <f>'Reg Output - Commissioned'!N10/50</f>
        <v/>
      </c>
      <c r="P72" s="44">
        <f>'Reg Output - Commissioned'!N10/50</f>
        <v/>
      </c>
    </row>
    <row r="73">
      <c r="A73" s="17" t="inlineStr">
        <is>
          <t xml:space="preserve">    Vintage FY2032E</t>
        </is>
      </c>
      <c r="B73" s="26" t="n">
        <v>0</v>
      </c>
      <c r="C73" s="26" t="n">
        <v>0</v>
      </c>
      <c r="D73" s="26" t="n">
        <v>0</v>
      </c>
      <c r="E73" s="26" t="n">
        <v>0</v>
      </c>
      <c r="F73" s="26" t="n">
        <v>0</v>
      </c>
      <c r="G73" s="44" t="n">
        <v>0</v>
      </c>
      <c r="H73" s="44" t="n">
        <v>0</v>
      </c>
      <c r="I73" s="44" t="n">
        <v>0</v>
      </c>
      <c r="J73" s="44" t="n">
        <v>0</v>
      </c>
      <c r="K73" s="44" t="n">
        <v>0</v>
      </c>
      <c r="L73" s="44" t="n">
        <v>0</v>
      </c>
      <c r="M73" s="44" t="n">
        <v>0</v>
      </c>
      <c r="N73" s="44" t="n">
        <v>0</v>
      </c>
      <c r="O73" s="44">
        <f>'Reg Output - Commissioned'!O10/50</f>
        <v/>
      </c>
      <c r="P73" s="44">
        <f>'Reg Output - Commissioned'!O10/50</f>
        <v/>
      </c>
    </row>
    <row r="74">
      <c r="A74" s="17" t="inlineStr">
        <is>
          <t xml:space="preserve">    Vintage FY2033E</t>
        </is>
      </c>
      <c r="B74" s="26" t="n">
        <v>0</v>
      </c>
      <c r="C74" s="26" t="n">
        <v>0</v>
      </c>
      <c r="D74" s="26" t="n">
        <v>0</v>
      </c>
      <c r="E74" s="26" t="n">
        <v>0</v>
      </c>
      <c r="F74" s="26" t="n">
        <v>0</v>
      </c>
      <c r="G74" s="44" t="n">
        <v>0</v>
      </c>
      <c r="H74" s="44" t="n">
        <v>0</v>
      </c>
      <c r="I74" s="44" t="n">
        <v>0</v>
      </c>
      <c r="J74" s="44" t="n">
        <v>0</v>
      </c>
      <c r="K74" s="44" t="n">
        <v>0</v>
      </c>
      <c r="L74" s="44" t="n">
        <v>0</v>
      </c>
      <c r="M74" s="44" t="n">
        <v>0</v>
      </c>
      <c r="N74" s="44" t="n">
        <v>0</v>
      </c>
      <c r="O74" s="44" t="n">
        <v>0</v>
      </c>
      <c r="P74" s="44">
        <f>'Reg Output - Commissioned'!P10/50</f>
        <v/>
      </c>
    </row>
    <row r="75">
      <c r="A75" s="17" t="inlineStr">
        <is>
          <t xml:space="preserve">    AC6 Total Depn</t>
        </is>
      </c>
      <c r="B75" s="43">
        <f>SUM(B65:B74)</f>
        <v/>
      </c>
      <c r="C75" s="43">
        <f>SUM(C65:C74)</f>
        <v/>
      </c>
      <c r="D75" s="43">
        <f>SUM(D65:D74)</f>
        <v/>
      </c>
      <c r="E75" s="43">
        <f>SUM(E65:E74)</f>
        <v/>
      </c>
      <c r="F75" s="43">
        <f>SUM(F65:F74)</f>
        <v/>
      </c>
      <c r="G75" s="43">
        <f>SUM(G65:G74)</f>
        <v/>
      </c>
      <c r="H75" s="43">
        <f>SUM(H65:H74)</f>
        <v/>
      </c>
      <c r="I75" s="43">
        <f>SUM(I65:I74)</f>
        <v/>
      </c>
      <c r="J75" s="43">
        <f>SUM(J65:J74)</f>
        <v/>
      </c>
      <c r="K75" s="43">
        <f>SUM(K65:K74)</f>
        <v/>
      </c>
      <c r="L75" s="43">
        <f>SUM(L65:L74)</f>
        <v/>
      </c>
      <c r="M75" s="43">
        <f>SUM(M65:M74)</f>
        <v/>
      </c>
      <c r="N75" s="43">
        <f>SUM(N65:N74)</f>
        <v/>
      </c>
      <c r="O75" s="43">
        <f>SUM(O65:O74)</f>
        <v/>
      </c>
      <c r="P75" s="43">
        <f>SUM(P65:P74)</f>
        <v/>
      </c>
    </row>
    <row r="76">
      <c r="A76" s="15" t="inlineStr">
        <is>
          <t>AC7  Protection &amp; Control  |  Useful Life: 15yr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</row>
    <row r="77">
      <c r="A77" s="17" t="inlineStr">
        <is>
          <t xml:space="preserve">    Vintage FY2024E</t>
        </is>
      </c>
      <c r="B77" s="26" t="n">
        <v>0</v>
      </c>
      <c r="C77" s="26" t="n">
        <v>0</v>
      </c>
      <c r="D77" s="26" t="n">
        <v>0</v>
      </c>
      <c r="E77" s="26" t="n">
        <v>0</v>
      </c>
      <c r="F77" s="26" t="n">
        <v>0</v>
      </c>
      <c r="G77" s="44">
        <f>'Reg Output - Commissioned'!G11/15</f>
        <v/>
      </c>
      <c r="H77" s="44">
        <f>'Reg Output - Commissioned'!G11/15</f>
        <v/>
      </c>
      <c r="I77" s="44">
        <f>'Reg Output - Commissioned'!G11/15</f>
        <v/>
      </c>
      <c r="J77" s="44">
        <f>'Reg Output - Commissioned'!G11/15</f>
        <v/>
      </c>
      <c r="K77" s="44">
        <f>'Reg Output - Commissioned'!G11/15</f>
        <v/>
      </c>
      <c r="L77" s="44">
        <f>'Reg Output - Commissioned'!G11/15</f>
        <v/>
      </c>
      <c r="M77" s="44">
        <f>'Reg Output - Commissioned'!G11/15</f>
        <v/>
      </c>
      <c r="N77" s="44">
        <f>'Reg Output - Commissioned'!G11/15</f>
        <v/>
      </c>
      <c r="O77" s="44">
        <f>'Reg Output - Commissioned'!G11/15</f>
        <v/>
      </c>
      <c r="P77" s="44">
        <f>'Reg Output - Commissioned'!G11/15</f>
        <v/>
      </c>
    </row>
    <row r="78">
      <c r="A78" s="17" t="inlineStr">
        <is>
          <t xml:space="preserve">    Vintage FY2025E</t>
        </is>
      </c>
      <c r="B78" s="26" t="n">
        <v>0</v>
      </c>
      <c r="C78" s="26" t="n">
        <v>0</v>
      </c>
      <c r="D78" s="26" t="n">
        <v>0</v>
      </c>
      <c r="E78" s="26" t="n">
        <v>0</v>
      </c>
      <c r="F78" s="26" t="n">
        <v>0</v>
      </c>
      <c r="G78" s="44" t="n">
        <v>0</v>
      </c>
      <c r="H78" s="44">
        <f>'Reg Output - Commissioned'!H11/15</f>
        <v/>
      </c>
      <c r="I78" s="44">
        <f>'Reg Output - Commissioned'!H11/15</f>
        <v/>
      </c>
      <c r="J78" s="44">
        <f>'Reg Output - Commissioned'!H11/15</f>
        <v/>
      </c>
      <c r="K78" s="44">
        <f>'Reg Output - Commissioned'!H11/15</f>
        <v/>
      </c>
      <c r="L78" s="44">
        <f>'Reg Output - Commissioned'!H11/15</f>
        <v/>
      </c>
      <c r="M78" s="44">
        <f>'Reg Output - Commissioned'!H11/15</f>
        <v/>
      </c>
      <c r="N78" s="44">
        <f>'Reg Output - Commissioned'!H11/15</f>
        <v/>
      </c>
      <c r="O78" s="44">
        <f>'Reg Output - Commissioned'!H11/15</f>
        <v/>
      </c>
      <c r="P78" s="44">
        <f>'Reg Output - Commissioned'!H11/15</f>
        <v/>
      </c>
    </row>
    <row r="79">
      <c r="A79" s="17" t="inlineStr">
        <is>
          <t xml:space="preserve">    Vintage FY2026E</t>
        </is>
      </c>
      <c r="B79" s="26" t="n">
        <v>0</v>
      </c>
      <c r="C79" s="26" t="n">
        <v>0</v>
      </c>
      <c r="D79" s="26" t="n">
        <v>0</v>
      </c>
      <c r="E79" s="26" t="n">
        <v>0</v>
      </c>
      <c r="F79" s="26" t="n">
        <v>0</v>
      </c>
      <c r="G79" s="44" t="n">
        <v>0</v>
      </c>
      <c r="H79" s="44" t="n">
        <v>0</v>
      </c>
      <c r="I79" s="44">
        <f>'Reg Output - Commissioned'!I11/15</f>
        <v/>
      </c>
      <c r="J79" s="44">
        <f>'Reg Output - Commissioned'!I11/15</f>
        <v/>
      </c>
      <c r="K79" s="44">
        <f>'Reg Output - Commissioned'!I11/15</f>
        <v/>
      </c>
      <c r="L79" s="44">
        <f>'Reg Output - Commissioned'!I11/15</f>
        <v/>
      </c>
      <c r="M79" s="44">
        <f>'Reg Output - Commissioned'!I11/15</f>
        <v/>
      </c>
      <c r="N79" s="44">
        <f>'Reg Output - Commissioned'!I11/15</f>
        <v/>
      </c>
      <c r="O79" s="44">
        <f>'Reg Output - Commissioned'!I11/15</f>
        <v/>
      </c>
      <c r="P79" s="44">
        <f>'Reg Output - Commissioned'!I11/15</f>
        <v/>
      </c>
    </row>
    <row r="80">
      <c r="A80" s="17" t="inlineStr">
        <is>
          <t xml:space="preserve">    Vintage FY2027E</t>
        </is>
      </c>
      <c r="B80" s="26" t="n">
        <v>0</v>
      </c>
      <c r="C80" s="26" t="n">
        <v>0</v>
      </c>
      <c r="D80" s="26" t="n">
        <v>0</v>
      </c>
      <c r="E80" s="26" t="n">
        <v>0</v>
      </c>
      <c r="F80" s="26" t="n">
        <v>0</v>
      </c>
      <c r="G80" s="44" t="n">
        <v>0</v>
      </c>
      <c r="H80" s="44" t="n">
        <v>0</v>
      </c>
      <c r="I80" s="44" t="n">
        <v>0</v>
      </c>
      <c r="J80" s="44">
        <f>'Reg Output - Commissioned'!J11/15</f>
        <v/>
      </c>
      <c r="K80" s="44">
        <f>'Reg Output - Commissioned'!J11/15</f>
        <v/>
      </c>
      <c r="L80" s="44">
        <f>'Reg Output - Commissioned'!J11/15</f>
        <v/>
      </c>
      <c r="M80" s="44">
        <f>'Reg Output - Commissioned'!J11/15</f>
        <v/>
      </c>
      <c r="N80" s="44">
        <f>'Reg Output - Commissioned'!J11/15</f>
        <v/>
      </c>
      <c r="O80" s="44">
        <f>'Reg Output - Commissioned'!J11/15</f>
        <v/>
      </c>
      <c r="P80" s="44">
        <f>'Reg Output - Commissioned'!J11/15</f>
        <v/>
      </c>
    </row>
    <row r="81">
      <c r="A81" s="17" t="inlineStr">
        <is>
          <t xml:space="preserve">    Vintage FY2028E</t>
        </is>
      </c>
      <c r="B81" s="26" t="n">
        <v>0</v>
      </c>
      <c r="C81" s="26" t="n">
        <v>0</v>
      </c>
      <c r="D81" s="26" t="n">
        <v>0</v>
      </c>
      <c r="E81" s="26" t="n">
        <v>0</v>
      </c>
      <c r="F81" s="26" t="n">
        <v>0</v>
      </c>
      <c r="G81" s="44" t="n">
        <v>0</v>
      </c>
      <c r="H81" s="44" t="n">
        <v>0</v>
      </c>
      <c r="I81" s="44" t="n">
        <v>0</v>
      </c>
      <c r="J81" s="44" t="n">
        <v>0</v>
      </c>
      <c r="K81" s="44">
        <f>'Reg Output - Commissioned'!K11/15</f>
        <v/>
      </c>
      <c r="L81" s="44">
        <f>'Reg Output - Commissioned'!K11/15</f>
        <v/>
      </c>
      <c r="M81" s="44">
        <f>'Reg Output - Commissioned'!K11/15</f>
        <v/>
      </c>
      <c r="N81" s="44">
        <f>'Reg Output - Commissioned'!K11/15</f>
        <v/>
      </c>
      <c r="O81" s="44">
        <f>'Reg Output - Commissioned'!K11/15</f>
        <v/>
      </c>
      <c r="P81" s="44">
        <f>'Reg Output - Commissioned'!K11/15</f>
        <v/>
      </c>
    </row>
    <row r="82">
      <c r="A82" s="17" t="inlineStr">
        <is>
          <t xml:space="preserve">    Vintage FY2029E</t>
        </is>
      </c>
      <c r="B82" s="26" t="n">
        <v>0</v>
      </c>
      <c r="C82" s="26" t="n">
        <v>0</v>
      </c>
      <c r="D82" s="26" t="n">
        <v>0</v>
      </c>
      <c r="E82" s="26" t="n">
        <v>0</v>
      </c>
      <c r="F82" s="26" t="n">
        <v>0</v>
      </c>
      <c r="G82" s="44" t="n">
        <v>0</v>
      </c>
      <c r="H82" s="44" t="n">
        <v>0</v>
      </c>
      <c r="I82" s="44" t="n">
        <v>0</v>
      </c>
      <c r="J82" s="44" t="n">
        <v>0</v>
      </c>
      <c r="K82" s="44" t="n">
        <v>0</v>
      </c>
      <c r="L82" s="44">
        <f>'Reg Output - Commissioned'!L11/15</f>
        <v/>
      </c>
      <c r="M82" s="44">
        <f>'Reg Output - Commissioned'!L11/15</f>
        <v/>
      </c>
      <c r="N82" s="44">
        <f>'Reg Output - Commissioned'!L11/15</f>
        <v/>
      </c>
      <c r="O82" s="44">
        <f>'Reg Output - Commissioned'!L11/15</f>
        <v/>
      </c>
      <c r="P82" s="44">
        <f>'Reg Output - Commissioned'!L11/15</f>
        <v/>
      </c>
    </row>
    <row r="83">
      <c r="A83" s="17" t="inlineStr">
        <is>
          <t xml:space="preserve">    Vintage FY2030E</t>
        </is>
      </c>
      <c r="B83" s="26" t="n">
        <v>0</v>
      </c>
      <c r="C83" s="26" t="n">
        <v>0</v>
      </c>
      <c r="D83" s="26" t="n">
        <v>0</v>
      </c>
      <c r="E83" s="26" t="n">
        <v>0</v>
      </c>
      <c r="F83" s="26" t="n">
        <v>0</v>
      </c>
      <c r="G83" s="44" t="n">
        <v>0</v>
      </c>
      <c r="H83" s="44" t="n">
        <v>0</v>
      </c>
      <c r="I83" s="44" t="n">
        <v>0</v>
      </c>
      <c r="J83" s="44" t="n">
        <v>0</v>
      </c>
      <c r="K83" s="44" t="n">
        <v>0</v>
      </c>
      <c r="L83" s="44" t="n">
        <v>0</v>
      </c>
      <c r="M83" s="44">
        <f>'Reg Output - Commissioned'!M11/15</f>
        <v/>
      </c>
      <c r="N83" s="44">
        <f>'Reg Output - Commissioned'!M11/15</f>
        <v/>
      </c>
      <c r="O83" s="44">
        <f>'Reg Output - Commissioned'!M11/15</f>
        <v/>
      </c>
      <c r="P83" s="44">
        <f>'Reg Output - Commissioned'!M11/15</f>
        <v/>
      </c>
    </row>
    <row r="84">
      <c r="A84" s="17" t="inlineStr">
        <is>
          <t xml:space="preserve">    Vintage FY2031E</t>
        </is>
      </c>
      <c r="B84" s="26" t="n">
        <v>0</v>
      </c>
      <c r="C84" s="26" t="n">
        <v>0</v>
      </c>
      <c r="D84" s="26" t="n">
        <v>0</v>
      </c>
      <c r="E84" s="26" t="n">
        <v>0</v>
      </c>
      <c r="F84" s="26" t="n">
        <v>0</v>
      </c>
      <c r="G84" s="44" t="n">
        <v>0</v>
      </c>
      <c r="H84" s="44" t="n">
        <v>0</v>
      </c>
      <c r="I84" s="44" t="n">
        <v>0</v>
      </c>
      <c r="J84" s="44" t="n">
        <v>0</v>
      </c>
      <c r="K84" s="44" t="n">
        <v>0</v>
      </c>
      <c r="L84" s="44" t="n">
        <v>0</v>
      </c>
      <c r="M84" s="44" t="n">
        <v>0</v>
      </c>
      <c r="N84" s="44">
        <f>'Reg Output - Commissioned'!N11/15</f>
        <v/>
      </c>
      <c r="O84" s="44">
        <f>'Reg Output - Commissioned'!N11/15</f>
        <v/>
      </c>
      <c r="P84" s="44">
        <f>'Reg Output - Commissioned'!N11/15</f>
        <v/>
      </c>
    </row>
    <row r="85">
      <c r="A85" s="17" t="inlineStr">
        <is>
          <t xml:space="preserve">    Vintage FY2032E</t>
        </is>
      </c>
      <c r="B85" s="26" t="n">
        <v>0</v>
      </c>
      <c r="C85" s="26" t="n">
        <v>0</v>
      </c>
      <c r="D85" s="26" t="n">
        <v>0</v>
      </c>
      <c r="E85" s="26" t="n">
        <v>0</v>
      </c>
      <c r="F85" s="26" t="n">
        <v>0</v>
      </c>
      <c r="G85" s="44" t="n">
        <v>0</v>
      </c>
      <c r="H85" s="44" t="n">
        <v>0</v>
      </c>
      <c r="I85" s="44" t="n">
        <v>0</v>
      </c>
      <c r="J85" s="44" t="n">
        <v>0</v>
      </c>
      <c r="K85" s="44" t="n">
        <v>0</v>
      </c>
      <c r="L85" s="44" t="n">
        <v>0</v>
      </c>
      <c r="M85" s="44" t="n">
        <v>0</v>
      </c>
      <c r="N85" s="44" t="n">
        <v>0</v>
      </c>
      <c r="O85" s="44">
        <f>'Reg Output - Commissioned'!O11/15</f>
        <v/>
      </c>
      <c r="P85" s="44">
        <f>'Reg Output - Commissioned'!O11/15</f>
        <v/>
      </c>
    </row>
    <row r="86">
      <c r="A86" s="17" t="inlineStr">
        <is>
          <t xml:space="preserve">    Vintage FY2033E</t>
        </is>
      </c>
      <c r="B86" s="26" t="n">
        <v>0</v>
      </c>
      <c r="C86" s="26" t="n">
        <v>0</v>
      </c>
      <c r="D86" s="26" t="n">
        <v>0</v>
      </c>
      <c r="E86" s="26" t="n">
        <v>0</v>
      </c>
      <c r="F86" s="26" t="n">
        <v>0</v>
      </c>
      <c r="G86" s="44" t="n">
        <v>0</v>
      </c>
      <c r="H86" s="44" t="n">
        <v>0</v>
      </c>
      <c r="I86" s="44" t="n">
        <v>0</v>
      </c>
      <c r="J86" s="44" t="n">
        <v>0</v>
      </c>
      <c r="K86" s="44" t="n">
        <v>0</v>
      </c>
      <c r="L86" s="44" t="n">
        <v>0</v>
      </c>
      <c r="M86" s="44" t="n">
        <v>0</v>
      </c>
      <c r="N86" s="44" t="n">
        <v>0</v>
      </c>
      <c r="O86" s="44" t="n">
        <v>0</v>
      </c>
      <c r="P86" s="44">
        <f>'Reg Output - Commissioned'!P11/15</f>
        <v/>
      </c>
    </row>
    <row r="87">
      <c r="A87" s="17" t="inlineStr">
        <is>
          <t xml:space="preserve">    AC7 Total Depn</t>
        </is>
      </c>
      <c r="B87" s="43">
        <f>SUM(B77:B86)</f>
        <v/>
      </c>
      <c r="C87" s="43">
        <f>SUM(C77:C86)</f>
        <v/>
      </c>
      <c r="D87" s="43">
        <f>SUM(D77:D86)</f>
        <v/>
      </c>
      <c r="E87" s="43">
        <f>SUM(E77:E86)</f>
        <v/>
      </c>
      <c r="F87" s="43">
        <f>SUM(F77:F86)</f>
        <v/>
      </c>
      <c r="G87" s="43">
        <f>SUM(G77:G86)</f>
        <v/>
      </c>
      <c r="H87" s="43">
        <f>SUM(H77:H86)</f>
        <v/>
      </c>
      <c r="I87" s="43">
        <f>SUM(I77:I86)</f>
        <v/>
      </c>
      <c r="J87" s="43">
        <f>SUM(J77:J86)</f>
        <v/>
      </c>
      <c r="K87" s="43">
        <f>SUM(K77:K86)</f>
        <v/>
      </c>
      <c r="L87" s="43">
        <f>SUM(L77:L86)</f>
        <v/>
      </c>
      <c r="M87" s="43">
        <f>SUM(M77:M86)</f>
        <v/>
      </c>
      <c r="N87" s="43">
        <f>SUM(N77:N86)</f>
        <v/>
      </c>
      <c r="O87" s="43">
        <f>SUM(O77:O86)</f>
        <v/>
      </c>
      <c r="P87" s="43">
        <f>SUM(P77:P86)</f>
        <v/>
      </c>
    </row>
    <row r="88">
      <c r="A88" s="15" t="inlineStr">
        <is>
          <t>AC8  SCADA  |  Useful Life: 10yr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</row>
    <row r="89">
      <c r="A89" s="17" t="inlineStr">
        <is>
          <t xml:space="preserve">    Vintage FY2024E</t>
        </is>
      </c>
      <c r="B89" s="26" t="n">
        <v>0</v>
      </c>
      <c r="C89" s="26" t="n">
        <v>0</v>
      </c>
      <c r="D89" s="26" t="n">
        <v>0</v>
      </c>
      <c r="E89" s="26" t="n">
        <v>0</v>
      </c>
      <c r="F89" s="26" t="n">
        <v>0</v>
      </c>
      <c r="G89" s="44">
        <f>'Reg Output - Commissioned'!G12/10</f>
        <v/>
      </c>
      <c r="H89" s="44">
        <f>'Reg Output - Commissioned'!G12/10</f>
        <v/>
      </c>
      <c r="I89" s="44">
        <f>'Reg Output - Commissioned'!G12/10</f>
        <v/>
      </c>
      <c r="J89" s="44">
        <f>'Reg Output - Commissioned'!G12/10</f>
        <v/>
      </c>
      <c r="K89" s="44">
        <f>'Reg Output - Commissioned'!G12/10</f>
        <v/>
      </c>
      <c r="L89" s="44">
        <f>'Reg Output - Commissioned'!G12/10</f>
        <v/>
      </c>
      <c r="M89" s="44">
        <f>'Reg Output - Commissioned'!G12/10</f>
        <v/>
      </c>
      <c r="N89" s="44">
        <f>'Reg Output - Commissioned'!G12/10</f>
        <v/>
      </c>
      <c r="O89" s="44">
        <f>'Reg Output - Commissioned'!G12/10</f>
        <v/>
      </c>
      <c r="P89" s="44">
        <f>'Reg Output - Commissioned'!G12/10</f>
        <v/>
      </c>
    </row>
    <row r="90">
      <c r="A90" s="17" t="inlineStr">
        <is>
          <t xml:space="preserve">    Vintage FY2025E</t>
        </is>
      </c>
      <c r="B90" s="26" t="n">
        <v>0</v>
      </c>
      <c r="C90" s="26" t="n">
        <v>0</v>
      </c>
      <c r="D90" s="26" t="n">
        <v>0</v>
      </c>
      <c r="E90" s="26" t="n">
        <v>0</v>
      </c>
      <c r="F90" s="26" t="n">
        <v>0</v>
      </c>
      <c r="G90" s="44" t="n">
        <v>0</v>
      </c>
      <c r="H90" s="44">
        <f>'Reg Output - Commissioned'!H12/10</f>
        <v/>
      </c>
      <c r="I90" s="44">
        <f>'Reg Output - Commissioned'!H12/10</f>
        <v/>
      </c>
      <c r="J90" s="44">
        <f>'Reg Output - Commissioned'!H12/10</f>
        <v/>
      </c>
      <c r="K90" s="44">
        <f>'Reg Output - Commissioned'!H12/10</f>
        <v/>
      </c>
      <c r="L90" s="44">
        <f>'Reg Output - Commissioned'!H12/10</f>
        <v/>
      </c>
      <c r="M90" s="44">
        <f>'Reg Output - Commissioned'!H12/10</f>
        <v/>
      </c>
      <c r="N90" s="44">
        <f>'Reg Output - Commissioned'!H12/10</f>
        <v/>
      </c>
      <c r="O90" s="44">
        <f>'Reg Output - Commissioned'!H12/10</f>
        <v/>
      </c>
      <c r="P90" s="44">
        <f>'Reg Output - Commissioned'!H12/10</f>
        <v/>
      </c>
    </row>
    <row r="91">
      <c r="A91" s="17" t="inlineStr">
        <is>
          <t xml:space="preserve">    Vintage FY2026E</t>
        </is>
      </c>
      <c r="B91" s="26" t="n">
        <v>0</v>
      </c>
      <c r="C91" s="26" t="n">
        <v>0</v>
      </c>
      <c r="D91" s="26" t="n">
        <v>0</v>
      </c>
      <c r="E91" s="26" t="n">
        <v>0</v>
      </c>
      <c r="F91" s="26" t="n">
        <v>0</v>
      </c>
      <c r="G91" s="44" t="n">
        <v>0</v>
      </c>
      <c r="H91" s="44" t="n">
        <v>0</v>
      </c>
      <c r="I91" s="44">
        <f>'Reg Output - Commissioned'!I12/10</f>
        <v/>
      </c>
      <c r="J91" s="44">
        <f>'Reg Output - Commissioned'!I12/10</f>
        <v/>
      </c>
      <c r="K91" s="44">
        <f>'Reg Output - Commissioned'!I12/10</f>
        <v/>
      </c>
      <c r="L91" s="44">
        <f>'Reg Output - Commissioned'!I12/10</f>
        <v/>
      </c>
      <c r="M91" s="44">
        <f>'Reg Output - Commissioned'!I12/10</f>
        <v/>
      </c>
      <c r="N91" s="44">
        <f>'Reg Output - Commissioned'!I12/10</f>
        <v/>
      </c>
      <c r="O91" s="44">
        <f>'Reg Output - Commissioned'!I12/10</f>
        <v/>
      </c>
      <c r="P91" s="44">
        <f>'Reg Output - Commissioned'!I12/10</f>
        <v/>
      </c>
    </row>
    <row r="92">
      <c r="A92" s="17" t="inlineStr">
        <is>
          <t xml:space="preserve">    Vintage FY2027E</t>
        </is>
      </c>
      <c r="B92" s="26" t="n">
        <v>0</v>
      </c>
      <c r="C92" s="26" t="n">
        <v>0</v>
      </c>
      <c r="D92" s="26" t="n">
        <v>0</v>
      </c>
      <c r="E92" s="26" t="n">
        <v>0</v>
      </c>
      <c r="F92" s="26" t="n">
        <v>0</v>
      </c>
      <c r="G92" s="44" t="n">
        <v>0</v>
      </c>
      <c r="H92" s="44" t="n">
        <v>0</v>
      </c>
      <c r="I92" s="44" t="n">
        <v>0</v>
      </c>
      <c r="J92" s="44">
        <f>'Reg Output - Commissioned'!J12/10</f>
        <v/>
      </c>
      <c r="K92" s="44">
        <f>'Reg Output - Commissioned'!J12/10</f>
        <v/>
      </c>
      <c r="L92" s="44">
        <f>'Reg Output - Commissioned'!J12/10</f>
        <v/>
      </c>
      <c r="M92" s="44">
        <f>'Reg Output - Commissioned'!J12/10</f>
        <v/>
      </c>
      <c r="N92" s="44">
        <f>'Reg Output - Commissioned'!J12/10</f>
        <v/>
      </c>
      <c r="O92" s="44">
        <f>'Reg Output - Commissioned'!J12/10</f>
        <v/>
      </c>
      <c r="P92" s="44">
        <f>'Reg Output - Commissioned'!J12/10</f>
        <v/>
      </c>
    </row>
    <row r="93">
      <c r="A93" s="17" t="inlineStr">
        <is>
          <t xml:space="preserve">    Vintage FY2028E</t>
        </is>
      </c>
      <c r="B93" s="26" t="n">
        <v>0</v>
      </c>
      <c r="C93" s="26" t="n">
        <v>0</v>
      </c>
      <c r="D93" s="26" t="n">
        <v>0</v>
      </c>
      <c r="E93" s="26" t="n">
        <v>0</v>
      </c>
      <c r="F93" s="26" t="n">
        <v>0</v>
      </c>
      <c r="G93" s="44" t="n">
        <v>0</v>
      </c>
      <c r="H93" s="44" t="n">
        <v>0</v>
      </c>
      <c r="I93" s="44" t="n">
        <v>0</v>
      </c>
      <c r="J93" s="44" t="n">
        <v>0</v>
      </c>
      <c r="K93" s="44">
        <f>'Reg Output - Commissioned'!K12/10</f>
        <v/>
      </c>
      <c r="L93" s="44">
        <f>'Reg Output - Commissioned'!K12/10</f>
        <v/>
      </c>
      <c r="M93" s="44">
        <f>'Reg Output - Commissioned'!K12/10</f>
        <v/>
      </c>
      <c r="N93" s="44">
        <f>'Reg Output - Commissioned'!K12/10</f>
        <v/>
      </c>
      <c r="O93" s="44">
        <f>'Reg Output - Commissioned'!K12/10</f>
        <v/>
      </c>
      <c r="P93" s="44">
        <f>'Reg Output - Commissioned'!K12/10</f>
        <v/>
      </c>
    </row>
    <row r="94">
      <c r="A94" s="17" t="inlineStr">
        <is>
          <t xml:space="preserve">    Vintage FY2029E</t>
        </is>
      </c>
      <c r="B94" s="26" t="n">
        <v>0</v>
      </c>
      <c r="C94" s="26" t="n">
        <v>0</v>
      </c>
      <c r="D94" s="26" t="n">
        <v>0</v>
      </c>
      <c r="E94" s="26" t="n">
        <v>0</v>
      </c>
      <c r="F94" s="26" t="n">
        <v>0</v>
      </c>
      <c r="G94" s="44" t="n">
        <v>0</v>
      </c>
      <c r="H94" s="44" t="n">
        <v>0</v>
      </c>
      <c r="I94" s="44" t="n">
        <v>0</v>
      </c>
      <c r="J94" s="44" t="n">
        <v>0</v>
      </c>
      <c r="K94" s="44" t="n">
        <v>0</v>
      </c>
      <c r="L94" s="44">
        <f>'Reg Output - Commissioned'!L12/10</f>
        <v/>
      </c>
      <c r="M94" s="44">
        <f>'Reg Output - Commissioned'!L12/10</f>
        <v/>
      </c>
      <c r="N94" s="44">
        <f>'Reg Output - Commissioned'!L12/10</f>
        <v/>
      </c>
      <c r="O94" s="44">
        <f>'Reg Output - Commissioned'!L12/10</f>
        <v/>
      </c>
      <c r="P94" s="44">
        <f>'Reg Output - Commissioned'!L12/10</f>
        <v/>
      </c>
    </row>
    <row r="95">
      <c r="A95" s="17" t="inlineStr">
        <is>
          <t xml:space="preserve">    Vintage FY2030E</t>
        </is>
      </c>
      <c r="B95" s="26" t="n">
        <v>0</v>
      </c>
      <c r="C95" s="26" t="n">
        <v>0</v>
      </c>
      <c r="D95" s="26" t="n">
        <v>0</v>
      </c>
      <c r="E95" s="26" t="n">
        <v>0</v>
      </c>
      <c r="F95" s="26" t="n">
        <v>0</v>
      </c>
      <c r="G95" s="44" t="n">
        <v>0</v>
      </c>
      <c r="H95" s="44" t="n">
        <v>0</v>
      </c>
      <c r="I95" s="44" t="n">
        <v>0</v>
      </c>
      <c r="J95" s="44" t="n">
        <v>0</v>
      </c>
      <c r="K95" s="44" t="n">
        <v>0</v>
      </c>
      <c r="L95" s="44" t="n">
        <v>0</v>
      </c>
      <c r="M95" s="44">
        <f>'Reg Output - Commissioned'!M12/10</f>
        <v/>
      </c>
      <c r="N95" s="44">
        <f>'Reg Output - Commissioned'!M12/10</f>
        <v/>
      </c>
      <c r="O95" s="44">
        <f>'Reg Output - Commissioned'!M12/10</f>
        <v/>
      </c>
      <c r="P95" s="44">
        <f>'Reg Output - Commissioned'!M12/10</f>
        <v/>
      </c>
    </row>
    <row r="96">
      <c r="A96" s="17" t="inlineStr">
        <is>
          <t xml:space="preserve">    Vintage FY2031E</t>
        </is>
      </c>
      <c r="B96" s="26" t="n">
        <v>0</v>
      </c>
      <c r="C96" s="26" t="n">
        <v>0</v>
      </c>
      <c r="D96" s="26" t="n">
        <v>0</v>
      </c>
      <c r="E96" s="26" t="n">
        <v>0</v>
      </c>
      <c r="F96" s="26" t="n">
        <v>0</v>
      </c>
      <c r="G96" s="44" t="n">
        <v>0</v>
      </c>
      <c r="H96" s="44" t="n">
        <v>0</v>
      </c>
      <c r="I96" s="44" t="n">
        <v>0</v>
      </c>
      <c r="J96" s="44" t="n">
        <v>0</v>
      </c>
      <c r="K96" s="44" t="n">
        <v>0</v>
      </c>
      <c r="L96" s="44" t="n">
        <v>0</v>
      </c>
      <c r="M96" s="44" t="n">
        <v>0</v>
      </c>
      <c r="N96" s="44">
        <f>'Reg Output - Commissioned'!N12/10</f>
        <v/>
      </c>
      <c r="O96" s="44">
        <f>'Reg Output - Commissioned'!N12/10</f>
        <v/>
      </c>
      <c r="P96" s="44">
        <f>'Reg Output - Commissioned'!N12/10</f>
        <v/>
      </c>
    </row>
    <row r="97">
      <c r="A97" s="17" t="inlineStr">
        <is>
          <t xml:space="preserve">    Vintage FY2032E</t>
        </is>
      </c>
      <c r="B97" s="26" t="n">
        <v>0</v>
      </c>
      <c r="C97" s="26" t="n">
        <v>0</v>
      </c>
      <c r="D97" s="26" t="n">
        <v>0</v>
      </c>
      <c r="E97" s="26" t="n">
        <v>0</v>
      </c>
      <c r="F97" s="26" t="n">
        <v>0</v>
      </c>
      <c r="G97" s="44" t="n">
        <v>0</v>
      </c>
      <c r="H97" s="44" t="n">
        <v>0</v>
      </c>
      <c r="I97" s="44" t="n">
        <v>0</v>
      </c>
      <c r="J97" s="44" t="n">
        <v>0</v>
      </c>
      <c r="K97" s="44" t="n">
        <v>0</v>
      </c>
      <c r="L97" s="44" t="n">
        <v>0</v>
      </c>
      <c r="M97" s="44" t="n">
        <v>0</v>
      </c>
      <c r="N97" s="44" t="n">
        <v>0</v>
      </c>
      <c r="O97" s="44">
        <f>'Reg Output - Commissioned'!O12/10</f>
        <v/>
      </c>
      <c r="P97" s="44">
        <f>'Reg Output - Commissioned'!O12/10</f>
        <v/>
      </c>
    </row>
    <row r="98">
      <c r="A98" s="17" t="inlineStr">
        <is>
          <t xml:space="preserve">    Vintage FY2033E</t>
        </is>
      </c>
      <c r="B98" s="26" t="n">
        <v>0</v>
      </c>
      <c r="C98" s="26" t="n">
        <v>0</v>
      </c>
      <c r="D98" s="26" t="n">
        <v>0</v>
      </c>
      <c r="E98" s="26" t="n">
        <v>0</v>
      </c>
      <c r="F98" s="26" t="n">
        <v>0</v>
      </c>
      <c r="G98" s="44" t="n">
        <v>0</v>
      </c>
      <c r="H98" s="44" t="n">
        <v>0</v>
      </c>
      <c r="I98" s="44" t="n">
        <v>0</v>
      </c>
      <c r="J98" s="44" t="n">
        <v>0</v>
      </c>
      <c r="K98" s="44" t="n">
        <v>0</v>
      </c>
      <c r="L98" s="44" t="n">
        <v>0</v>
      </c>
      <c r="M98" s="44" t="n">
        <v>0</v>
      </c>
      <c r="N98" s="44" t="n">
        <v>0</v>
      </c>
      <c r="O98" s="44" t="n">
        <v>0</v>
      </c>
      <c r="P98" s="44">
        <f>'Reg Output - Commissioned'!P12/10</f>
        <v/>
      </c>
    </row>
    <row r="99">
      <c r="A99" s="17" t="inlineStr">
        <is>
          <t xml:space="preserve">    AC8 Total Depn</t>
        </is>
      </c>
      <c r="B99" s="43">
        <f>SUM(B89:B98)</f>
        <v/>
      </c>
      <c r="C99" s="43">
        <f>SUM(C89:C98)</f>
        <v/>
      </c>
      <c r="D99" s="43">
        <f>SUM(D89:D98)</f>
        <v/>
      </c>
      <c r="E99" s="43">
        <f>SUM(E89:E98)</f>
        <v/>
      </c>
      <c r="F99" s="43">
        <f>SUM(F89:F98)</f>
        <v/>
      </c>
      <c r="G99" s="43">
        <f>SUM(G89:G98)</f>
        <v/>
      </c>
      <c r="H99" s="43">
        <f>SUM(H89:H98)</f>
        <v/>
      </c>
      <c r="I99" s="43">
        <f>SUM(I89:I98)</f>
        <v/>
      </c>
      <c r="J99" s="43">
        <f>SUM(J89:J98)</f>
        <v/>
      </c>
      <c r="K99" s="43">
        <f>SUM(K89:K98)</f>
        <v/>
      </c>
      <c r="L99" s="43">
        <f>SUM(L89:L98)</f>
        <v/>
      </c>
      <c r="M99" s="43">
        <f>SUM(M89:M98)</f>
        <v/>
      </c>
      <c r="N99" s="43">
        <f>SUM(N89:N98)</f>
        <v/>
      </c>
      <c r="O99" s="43">
        <f>SUM(O89:O98)</f>
        <v/>
      </c>
      <c r="P99" s="43">
        <f>SUM(P89:P98)</f>
        <v/>
      </c>
    </row>
    <row r="100">
      <c r="A100" s="15" t="inlineStr">
        <is>
          <t>AC9  Metering  |  Useful Life: 15yr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</row>
    <row r="101">
      <c r="A101" s="17" t="inlineStr">
        <is>
          <t xml:space="preserve">    Vintage FY2024E</t>
        </is>
      </c>
      <c r="B101" s="26" t="n">
        <v>0</v>
      </c>
      <c r="C101" s="26" t="n">
        <v>0</v>
      </c>
      <c r="D101" s="26" t="n">
        <v>0</v>
      </c>
      <c r="E101" s="26" t="n">
        <v>0</v>
      </c>
      <c r="F101" s="26" t="n">
        <v>0</v>
      </c>
      <c r="G101" s="44">
        <f>'Reg Output - Commissioned'!G13/15</f>
        <v/>
      </c>
      <c r="H101" s="44">
        <f>'Reg Output - Commissioned'!G13/15</f>
        <v/>
      </c>
      <c r="I101" s="44">
        <f>'Reg Output - Commissioned'!G13/15</f>
        <v/>
      </c>
      <c r="J101" s="44">
        <f>'Reg Output - Commissioned'!G13/15</f>
        <v/>
      </c>
      <c r="K101" s="44">
        <f>'Reg Output - Commissioned'!G13/15</f>
        <v/>
      </c>
      <c r="L101" s="44">
        <f>'Reg Output - Commissioned'!G13/15</f>
        <v/>
      </c>
      <c r="M101" s="44">
        <f>'Reg Output - Commissioned'!G13/15</f>
        <v/>
      </c>
      <c r="N101" s="44">
        <f>'Reg Output - Commissioned'!G13/15</f>
        <v/>
      </c>
      <c r="O101" s="44">
        <f>'Reg Output - Commissioned'!G13/15</f>
        <v/>
      </c>
      <c r="P101" s="44">
        <f>'Reg Output - Commissioned'!G13/15</f>
        <v/>
      </c>
    </row>
    <row r="102">
      <c r="A102" s="17" t="inlineStr">
        <is>
          <t xml:space="preserve">    Vintage FY2025E</t>
        </is>
      </c>
      <c r="B102" s="26" t="n">
        <v>0</v>
      </c>
      <c r="C102" s="26" t="n">
        <v>0</v>
      </c>
      <c r="D102" s="26" t="n">
        <v>0</v>
      </c>
      <c r="E102" s="26" t="n">
        <v>0</v>
      </c>
      <c r="F102" s="26" t="n">
        <v>0</v>
      </c>
      <c r="G102" s="44" t="n">
        <v>0</v>
      </c>
      <c r="H102" s="44">
        <f>'Reg Output - Commissioned'!H13/15</f>
        <v/>
      </c>
      <c r="I102" s="44">
        <f>'Reg Output - Commissioned'!H13/15</f>
        <v/>
      </c>
      <c r="J102" s="44">
        <f>'Reg Output - Commissioned'!H13/15</f>
        <v/>
      </c>
      <c r="K102" s="44">
        <f>'Reg Output - Commissioned'!H13/15</f>
        <v/>
      </c>
      <c r="L102" s="44">
        <f>'Reg Output - Commissioned'!H13/15</f>
        <v/>
      </c>
      <c r="M102" s="44">
        <f>'Reg Output - Commissioned'!H13/15</f>
        <v/>
      </c>
      <c r="N102" s="44">
        <f>'Reg Output - Commissioned'!H13/15</f>
        <v/>
      </c>
      <c r="O102" s="44">
        <f>'Reg Output - Commissioned'!H13/15</f>
        <v/>
      </c>
      <c r="P102" s="44">
        <f>'Reg Output - Commissioned'!H13/15</f>
        <v/>
      </c>
    </row>
    <row r="103">
      <c r="A103" s="17" t="inlineStr">
        <is>
          <t xml:space="preserve">    Vintage FY2026E</t>
        </is>
      </c>
      <c r="B103" s="26" t="n">
        <v>0</v>
      </c>
      <c r="C103" s="26" t="n">
        <v>0</v>
      </c>
      <c r="D103" s="26" t="n">
        <v>0</v>
      </c>
      <c r="E103" s="26" t="n">
        <v>0</v>
      </c>
      <c r="F103" s="26" t="n">
        <v>0</v>
      </c>
      <c r="G103" s="44" t="n">
        <v>0</v>
      </c>
      <c r="H103" s="44" t="n">
        <v>0</v>
      </c>
      <c r="I103" s="44">
        <f>'Reg Output - Commissioned'!I13/15</f>
        <v/>
      </c>
      <c r="J103" s="44">
        <f>'Reg Output - Commissioned'!I13/15</f>
        <v/>
      </c>
      <c r="K103" s="44">
        <f>'Reg Output - Commissioned'!I13/15</f>
        <v/>
      </c>
      <c r="L103" s="44">
        <f>'Reg Output - Commissioned'!I13/15</f>
        <v/>
      </c>
      <c r="M103" s="44">
        <f>'Reg Output - Commissioned'!I13/15</f>
        <v/>
      </c>
      <c r="N103" s="44">
        <f>'Reg Output - Commissioned'!I13/15</f>
        <v/>
      </c>
      <c r="O103" s="44">
        <f>'Reg Output - Commissioned'!I13/15</f>
        <v/>
      </c>
      <c r="P103" s="44">
        <f>'Reg Output - Commissioned'!I13/15</f>
        <v/>
      </c>
    </row>
    <row r="104">
      <c r="A104" s="17" t="inlineStr">
        <is>
          <t xml:space="preserve">    Vintage FY2027E</t>
        </is>
      </c>
      <c r="B104" s="26" t="n">
        <v>0</v>
      </c>
      <c r="C104" s="26" t="n">
        <v>0</v>
      </c>
      <c r="D104" s="26" t="n">
        <v>0</v>
      </c>
      <c r="E104" s="26" t="n">
        <v>0</v>
      </c>
      <c r="F104" s="26" t="n">
        <v>0</v>
      </c>
      <c r="G104" s="44" t="n">
        <v>0</v>
      </c>
      <c r="H104" s="44" t="n">
        <v>0</v>
      </c>
      <c r="I104" s="44" t="n">
        <v>0</v>
      </c>
      <c r="J104" s="44">
        <f>'Reg Output - Commissioned'!J13/15</f>
        <v/>
      </c>
      <c r="K104" s="44">
        <f>'Reg Output - Commissioned'!J13/15</f>
        <v/>
      </c>
      <c r="L104" s="44">
        <f>'Reg Output - Commissioned'!J13/15</f>
        <v/>
      </c>
      <c r="M104" s="44">
        <f>'Reg Output - Commissioned'!J13/15</f>
        <v/>
      </c>
      <c r="N104" s="44">
        <f>'Reg Output - Commissioned'!J13/15</f>
        <v/>
      </c>
      <c r="O104" s="44">
        <f>'Reg Output - Commissioned'!J13/15</f>
        <v/>
      </c>
      <c r="P104" s="44">
        <f>'Reg Output - Commissioned'!J13/15</f>
        <v/>
      </c>
    </row>
    <row r="105">
      <c r="A105" s="17" t="inlineStr">
        <is>
          <t xml:space="preserve">    Vintage FY2028E</t>
        </is>
      </c>
      <c r="B105" s="26" t="n">
        <v>0</v>
      </c>
      <c r="C105" s="26" t="n">
        <v>0</v>
      </c>
      <c r="D105" s="26" t="n">
        <v>0</v>
      </c>
      <c r="E105" s="26" t="n">
        <v>0</v>
      </c>
      <c r="F105" s="26" t="n">
        <v>0</v>
      </c>
      <c r="G105" s="44" t="n">
        <v>0</v>
      </c>
      <c r="H105" s="44" t="n">
        <v>0</v>
      </c>
      <c r="I105" s="44" t="n">
        <v>0</v>
      </c>
      <c r="J105" s="44" t="n">
        <v>0</v>
      </c>
      <c r="K105" s="44">
        <f>'Reg Output - Commissioned'!K13/15</f>
        <v/>
      </c>
      <c r="L105" s="44">
        <f>'Reg Output - Commissioned'!K13/15</f>
        <v/>
      </c>
      <c r="M105" s="44">
        <f>'Reg Output - Commissioned'!K13/15</f>
        <v/>
      </c>
      <c r="N105" s="44">
        <f>'Reg Output - Commissioned'!K13/15</f>
        <v/>
      </c>
      <c r="O105" s="44">
        <f>'Reg Output - Commissioned'!K13/15</f>
        <v/>
      </c>
      <c r="P105" s="44">
        <f>'Reg Output - Commissioned'!K13/15</f>
        <v/>
      </c>
    </row>
    <row r="106">
      <c r="A106" s="17" t="inlineStr">
        <is>
          <t xml:space="preserve">    Vintage FY2029E</t>
        </is>
      </c>
      <c r="B106" s="26" t="n">
        <v>0</v>
      </c>
      <c r="C106" s="26" t="n">
        <v>0</v>
      </c>
      <c r="D106" s="26" t="n">
        <v>0</v>
      </c>
      <c r="E106" s="26" t="n">
        <v>0</v>
      </c>
      <c r="F106" s="26" t="n">
        <v>0</v>
      </c>
      <c r="G106" s="44" t="n">
        <v>0</v>
      </c>
      <c r="H106" s="44" t="n">
        <v>0</v>
      </c>
      <c r="I106" s="44" t="n">
        <v>0</v>
      </c>
      <c r="J106" s="44" t="n">
        <v>0</v>
      </c>
      <c r="K106" s="44" t="n">
        <v>0</v>
      </c>
      <c r="L106" s="44">
        <f>'Reg Output - Commissioned'!L13/15</f>
        <v/>
      </c>
      <c r="M106" s="44">
        <f>'Reg Output - Commissioned'!L13/15</f>
        <v/>
      </c>
      <c r="N106" s="44">
        <f>'Reg Output - Commissioned'!L13/15</f>
        <v/>
      </c>
      <c r="O106" s="44">
        <f>'Reg Output - Commissioned'!L13/15</f>
        <v/>
      </c>
      <c r="P106" s="44">
        <f>'Reg Output - Commissioned'!L13/15</f>
        <v/>
      </c>
    </row>
    <row r="107">
      <c r="A107" s="17" t="inlineStr">
        <is>
          <t xml:space="preserve">    Vintage FY2030E</t>
        </is>
      </c>
      <c r="B107" s="26" t="n">
        <v>0</v>
      </c>
      <c r="C107" s="26" t="n">
        <v>0</v>
      </c>
      <c r="D107" s="26" t="n">
        <v>0</v>
      </c>
      <c r="E107" s="26" t="n">
        <v>0</v>
      </c>
      <c r="F107" s="26" t="n">
        <v>0</v>
      </c>
      <c r="G107" s="44" t="n">
        <v>0</v>
      </c>
      <c r="H107" s="44" t="n">
        <v>0</v>
      </c>
      <c r="I107" s="44" t="n">
        <v>0</v>
      </c>
      <c r="J107" s="44" t="n">
        <v>0</v>
      </c>
      <c r="K107" s="44" t="n">
        <v>0</v>
      </c>
      <c r="L107" s="44" t="n">
        <v>0</v>
      </c>
      <c r="M107" s="44">
        <f>'Reg Output - Commissioned'!M13/15</f>
        <v/>
      </c>
      <c r="N107" s="44">
        <f>'Reg Output - Commissioned'!M13/15</f>
        <v/>
      </c>
      <c r="O107" s="44">
        <f>'Reg Output - Commissioned'!M13/15</f>
        <v/>
      </c>
      <c r="P107" s="44">
        <f>'Reg Output - Commissioned'!M13/15</f>
        <v/>
      </c>
    </row>
    <row r="108">
      <c r="A108" s="17" t="inlineStr">
        <is>
          <t xml:space="preserve">    Vintage FY2031E</t>
        </is>
      </c>
      <c r="B108" s="26" t="n">
        <v>0</v>
      </c>
      <c r="C108" s="26" t="n">
        <v>0</v>
      </c>
      <c r="D108" s="26" t="n">
        <v>0</v>
      </c>
      <c r="E108" s="26" t="n">
        <v>0</v>
      </c>
      <c r="F108" s="26" t="n">
        <v>0</v>
      </c>
      <c r="G108" s="44" t="n">
        <v>0</v>
      </c>
      <c r="H108" s="44" t="n">
        <v>0</v>
      </c>
      <c r="I108" s="44" t="n">
        <v>0</v>
      </c>
      <c r="J108" s="44" t="n">
        <v>0</v>
      </c>
      <c r="K108" s="44" t="n">
        <v>0</v>
      </c>
      <c r="L108" s="44" t="n">
        <v>0</v>
      </c>
      <c r="M108" s="44" t="n">
        <v>0</v>
      </c>
      <c r="N108" s="44">
        <f>'Reg Output - Commissioned'!N13/15</f>
        <v/>
      </c>
      <c r="O108" s="44">
        <f>'Reg Output - Commissioned'!N13/15</f>
        <v/>
      </c>
      <c r="P108" s="44">
        <f>'Reg Output - Commissioned'!N13/15</f>
        <v/>
      </c>
    </row>
    <row r="109">
      <c r="A109" s="17" t="inlineStr">
        <is>
          <t xml:space="preserve">    Vintage FY2032E</t>
        </is>
      </c>
      <c r="B109" s="26" t="n">
        <v>0</v>
      </c>
      <c r="C109" s="26" t="n">
        <v>0</v>
      </c>
      <c r="D109" s="26" t="n">
        <v>0</v>
      </c>
      <c r="E109" s="26" t="n">
        <v>0</v>
      </c>
      <c r="F109" s="26" t="n">
        <v>0</v>
      </c>
      <c r="G109" s="44" t="n">
        <v>0</v>
      </c>
      <c r="H109" s="44" t="n">
        <v>0</v>
      </c>
      <c r="I109" s="44" t="n">
        <v>0</v>
      </c>
      <c r="J109" s="44" t="n">
        <v>0</v>
      </c>
      <c r="K109" s="44" t="n">
        <v>0</v>
      </c>
      <c r="L109" s="44" t="n">
        <v>0</v>
      </c>
      <c r="M109" s="44" t="n">
        <v>0</v>
      </c>
      <c r="N109" s="44" t="n">
        <v>0</v>
      </c>
      <c r="O109" s="44">
        <f>'Reg Output - Commissioned'!O13/15</f>
        <v/>
      </c>
      <c r="P109" s="44">
        <f>'Reg Output - Commissioned'!O13/15</f>
        <v/>
      </c>
    </row>
    <row r="110">
      <c r="A110" s="17" t="inlineStr">
        <is>
          <t xml:space="preserve">    Vintage FY2033E</t>
        </is>
      </c>
      <c r="B110" s="26" t="n">
        <v>0</v>
      </c>
      <c r="C110" s="26" t="n">
        <v>0</v>
      </c>
      <c r="D110" s="26" t="n">
        <v>0</v>
      </c>
      <c r="E110" s="26" t="n">
        <v>0</v>
      </c>
      <c r="F110" s="26" t="n">
        <v>0</v>
      </c>
      <c r="G110" s="44" t="n">
        <v>0</v>
      </c>
      <c r="H110" s="44" t="n">
        <v>0</v>
      </c>
      <c r="I110" s="44" t="n">
        <v>0</v>
      </c>
      <c r="J110" s="44" t="n">
        <v>0</v>
      </c>
      <c r="K110" s="44" t="n">
        <v>0</v>
      </c>
      <c r="L110" s="44" t="n">
        <v>0</v>
      </c>
      <c r="M110" s="44" t="n">
        <v>0</v>
      </c>
      <c r="N110" s="44" t="n">
        <v>0</v>
      </c>
      <c r="O110" s="44" t="n">
        <v>0</v>
      </c>
      <c r="P110" s="44">
        <f>'Reg Output - Commissioned'!P13/15</f>
        <v/>
      </c>
    </row>
    <row r="111">
      <c r="A111" s="17" t="inlineStr">
        <is>
          <t xml:space="preserve">    AC9 Total Depn</t>
        </is>
      </c>
      <c r="B111" s="43">
        <f>SUM(B101:B110)</f>
        <v/>
      </c>
      <c r="C111" s="43">
        <f>SUM(C101:C110)</f>
        <v/>
      </c>
      <c r="D111" s="43">
        <f>SUM(D101:D110)</f>
        <v/>
      </c>
      <c r="E111" s="43">
        <f>SUM(E101:E110)</f>
        <v/>
      </c>
      <c r="F111" s="43">
        <f>SUM(F101:F110)</f>
        <v/>
      </c>
      <c r="G111" s="43">
        <f>SUM(G101:G110)</f>
        <v/>
      </c>
      <c r="H111" s="43">
        <f>SUM(H101:H110)</f>
        <v/>
      </c>
      <c r="I111" s="43">
        <f>SUM(I101:I110)</f>
        <v/>
      </c>
      <c r="J111" s="43">
        <f>SUM(J101:J110)</f>
        <v/>
      </c>
      <c r="K111" s="43">
        <f>SUM(K101:K110)</f>
        <v/>
      </c>
      <c r="L111" s="43">
        <f>SUM(L101:L110)</f>
        <v/>
      </c>
      <c r="M111" s="43">
        <f>SUM(M101:M110)</f>
        <v/>
      </c>
      <c r="N111" s="43">
        <f>SUM(N101:N110)</f>
        <v/>
      </c>
      <c r="O111" s="43">
        <f>SUM(O101:O110)</f>
        <v/>
      </c>
      <c r="P111" s="43">
        <f>SUM(P101:P110)</f>
        <v/>
      </c>
    </row>
    <row r="112">
      <c r="A112" s="15" t="inlineStr">
        <is>
          <t>AC10  Buildings  |  Useful Life: 40yr</t>
        </is>
      </c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</row>
    <row r="113">
      <c r="A113" s="17" t="inlineStr">
        <is>
          <t xml:space="preserve">    Vintage FY2024E</t>
        </is>
      </c>
      <c r="B113" s="26" t="n">
        <v>0</v>
      </c>
      <c r="C113" s="26" t="n">
        <v>0</v>
      </c>
      <c r="D113" s="26" t="n">
        <v>0</v>
      </c>
      <c r="E113" s="26" t="n">
        <v>0</v>
      </c>
      <c r="F113" s="26" t="n">
        <v>0</v>
      </c>
      <c r="G113" s="44">
        <f>'Reg Output - Commissioned'!G14/40</f>
        <v/>
      </c>
      <c r="H113" s="44">
        <f>'Reg Output - Commissioned'!G14/40</f>
        <v/>
      </c>
      <c r="I113" s="44">
        <f>'Reg Output - Commissioned'!G14/40</f>
        <v/>
      </c>
      <c r="J113" s="44">
        <f>'Reg Output - Commissioned'!G14/40</f>
        <v/>
      </c>
      <c r="K113" s="44">
        <f>'Reg Output - Commissioned'!G14/40</f>
        <v/>
      </c>
      <c r="L113" s="44">
        <f>'Reg Output - Commissioned'!G14/40</f>
        <v/>
      </c>
      <c r="M113" s="44">
        <f>'Reg Output - Commissioned'!G14/40</f>
        <v/>
      </c>
      <c r="N113" s="44">
        <f>'Reg Output - Commissioned'!G14/40</f>
        <v/>
      </c>
      <c r="O113" s="44">
        <f>'Reg Output - Commissioned'!G14/40</f>
        <v/>
      </c>
      <c r="P113" s="44">
        <f>'Reg Output - Commissioned'!G14/40</f>
        <v/>
      </c>
    </row>
    <row r="114">
      <c r="A114" s="17" t="inlineStr">
        <is>
          <t xml:space="preserve">    Vintage FY2025E</t>
        </is>
      </c>
      <c r="B114" s="26" t="n">
        <v>0</v>
      </c>
      <c r="C114" s="26" t="n">
        <v>0</v>
      </c>
      <c r="D114" s="26" t="n">
        <v>0</v>
      </c>
      <c r="E114" s="26" t="n">
        <v>0</v>
      </c>
      <c r="F114" s="26" t="n">
        <v>0</v>
      </c>
      <c r="G114" s="44" t="n">
        <v>0</v>
      </c>
      <c r="H114" s="44">
        <f>'Reg Output - Commissioned'!H14/40</f>
        <v/>
      </c>
      <c r="I114" s="44">
        <f>'Reg Output - Commissioned'!H14/40</f>
        <v/>
      </c>
      <c r="J114" s="44">
        <f>'Reg Output - Commissioned'!H14/40</f>
        <v/>
      </c>
      <c r="K114" s="44">
        <f>'Reg Output - Commissioned'!H14/40</f>
        <v/>
      </c>
      <c r="L114" s="44">
        <f>'Reg Output - Commissioned'!H14/40</f>
        <v/>
      </c>
      <c r="M114" s="44">
        <f>'Reg Output - Commissioned'!H14/40</f>
        <v/>
      </c>
      <c r="N114" s="44">
        <f>'Reg Output - Commissioned'!H14/40</f>
        <v/>
      </c>
      <c r="O114" s="44">
        <f>'Reg Output - Commissioned'!H14/40</f>
        <v/>
      </c>
      <c r="P114" s="44">
        <f>'Reg Output - Commissioned'!H14/40</f>
        <v/>
      </c>
    </row>
    <row r="115">
      <c r="A115" s="17" t="inlineStr">
        <is>
          <t xml:space="preserve">    Vintage FY2026E</t>
        </is>
      </c>
      <c r="B115" s="26" t="n">
        <v>0</v>
      </c>
      <c r="C115" s="26" t="n">
        <v>0</v>
      </c>
      <c r="D115" s="26" t="n">
        <v>0</v>
      </c>
      <c r="E115" s="26" t="n">
        <v>0</v>
      </c>
      <c r="F115" s="26" t="n">
        <v>0</v>
      </c>
      <c r="G115" s="44" t="n">
        <v>0</v>
      </c>
      <c r="H115" s="44" t="n">
        <v>0</v>
      </c>
      <c r="I115" s="44">
        <f>'Reg Output - Commissioned'!I14/40</f>
        <v/>
      </c>
      <c r="J115" s="44">
        <f>'Reg Output - Commissioned'!I14/40</f>
        <v/>
      </c>
      <c r="K115" s="44">
        <f>'Reg Output - Commissioned'!I14/40</f>
        <v/>
      </c>
      <c r="L115" s="44">
        <f>'Reg Output - Commissioned'!I14/40</f>
        <v/>
      </c>
      <c r="M115" s="44">
        <f>'Reg Output - Commissioned'!I14/40</f>
        <v/>
      </c>
      <c r="N115" s="44">
        <f>'Reg Output - Commissioned'!I14/40</f>
        <v/>
      </c>
      <c r="O115" s="44">
        <f>'Reg Output - Commissioned'!I14/40</f>
        <v/>
      </c>
      <c r="P115" s="44">
        <f>'Reg Output - Commissioned'!I14/40</f>
        <v/>
      </c>
    </row>
    <row r="116">
      <c r="A116" s="17" t="inlineStr">
        <is>
          <t xml:space="preserve">    Vintage FY2027E</t>
        </is>
      </c>
      <c r="B116" s="26" t="n">
        <v>0</v>
      </c>
      <c r="C116" s="26" t="n">
        <v>0</v>
      </c>
      <c r="D116" s="26" t="n">
        <v>0</v>
      </c>
      <c r="E116" s="26" t="n">
        <v>0</v>
      </c>
      <c r="F116" s="26" t="n">
        <v>0</v>
      </c>
      <c r="G116" s="44" t="n">
        <v>0</v>
      </c>
      <c r="H116" s="44" t="n">
        <v>0</v>
      </c>
      <c r="I116" s="44" t="n">
        <v>0</v>
      </c>
      <c r="J116" s="44">
        <f>'Reg Output - Commissioned'!J14/40</f>
        <v/>
      </c>
      <c r="K116" s="44">
        <f>'Reg Output - Commissioned'!J14/40</f>
        <v/>
      </c>
      <c r="L116" s="44">
        <f>'Reg Output - Commissioned'!J14/40</f>
        <v/>
      </c>
      <c r="M116" s="44">
        <f>'Reg Output - Commissioned'!J14/40</f>
        <v/>
      </c>
      <c r="N116" s="44">
        <f>'Reg Output - Commissioned'!J14/40</f>
        <v/>
      </c>
      <c r="O116" s="44">
        <f>'Reg Output - Commissioned'!J14/40</f>
        <v/>
      </c>
      <c r="P116" s="44">
        <f>'Reg Output - Commissioned'!J14/40</f>
        <v/>
      </c>
    </row>
    <row r="117">
      <c r="A117" s="17" t="inlineStr">
        <is>
          <t xml:space="preserve">    Vintage FY2028E</t>
        </is>
      </c>
      <c r="B117" s="26" t="n">
        <v>0</v>
      </c>
      <c r="C117" s="26" t="n">
        <v>0</v>
      </c>
      <c r="D117" s="26" t="n">
        <v>0</v>
      </c>
      <c r="E117" s="26" t="n">
        <v>0</v>
      </c>
      <c r="F117" s="26" t="n">
        <v>0</v>
      </c>
      <c r="G117" s="44" t="n">
        <v>0</v>
      </c>
      <c r="H117" s="44" t="n">
        <v>0</v>
      </c>
      <c r="I117" s="44" t="n">
        <v>0</v>
      </c>
      <c r="J117" s="44" t="n">
        <v>0</v>
      </c>
      <c r="K117" s="44">
        <f>'Reg Output - Commissioned'!K14/40</f>
        <v/>
      </c>
      <c r="L117" s="44">
        <f>'Reg Output - Commissioned'!K14/40</f>
        <v/>
      </c>
      <c r="M117" s="44">
        <f>'Reg Output - Commissioned'!K14/40</f>
        <v/>
      </c>
      <c r="N117" s="44">
        <f>'Reg Output - Commissioned'!K14/40</f>
        <v/>
      </c>
      <c r="O117" s="44">
        <f>'Reg Output - Commissioned'!K14/40</f>
        <v/>
      </c>
      <c r="P117" s="44">
        <f>'Reg Output - Commissioned'!K14/40</f>
        <v/>
      </c>
    </row>
    <row r="118">
      <c r="A118" s="17" t="inlineStr">
        <is>
          <t xml:space="preserve">    Vintage FY2029E</t>
        </is>
      </c>
      <c r="B118" s="26" t="n">
        <v>0</v>
      </c>
      <c r="C118" s="26" t="n">
        <v>0</v>
      </c>
      <c r="D118" s="26" t="n">
        <v>0</v>
      </c>
      <c r="E118" s="26" t="n">
        <v>0</v>
      </c>
      <c r="F118" s="26" t="n">
        <v>0</v>
      </c>
      <c r="G118" s="44" t="n">
        <v>0</v>
      </c>
      <c r="H118" s="44" t="n">
        <v>0</v>
      </c>
      <c r="I118" s="44" t="n">
        <v>0</v>
      </c>
      <c r="J118" s="44" t="n">
        <v>0</v>
      </c>
      <c r="K118" s="44" t="n">
        <v>0</v>
      </c>
      <c r="L118" s="44">
        <f>'Reg Output - Commissioned'!L14/40</f>
        <v/>
      </c>
      <c r="M118" s="44">
        <f>'Reg Output - Commissioned'!L14/40</f>
        <v/>
      </c>
      <c r="N118" s="44">
        <f>'Reg Output - Commissioned'!L14/40</f>
        <v/>
      </c>
      <c r="O118" s="44">
        <f>'Reg Output - Commissioned'!L14/40</f>
        <v/>
      </c>
      <c r="P118" s="44">
        <f>'Reg Output - Commissioned'!L14/40</f>
        <v/>
      </c>
    </row>
    <row r="119">
      <c r="A119" s="17" t="inlineStr">
        <is>
          <t xml:space="preserve">    Vintage FY2030E</t>
        </is>
      </c>
      <c r="B119" s="26" t="n">
        <v>0</v>
      </c>
      <c r="C119" s="26" t="n">
        <v>0</v>
      </c>
      <c r="D119" s="26" t="n">
        <v>0</v>
      </c>
      <c r="E119" s="26" t="n">
        <v>0</v>
      </c>
      <c r="F119" s="26" t="n">
        <v>0</v>
      </c>
      <c r="G119" s="44" t="n">
        <v>0</v>
      </c>
      <c r="H119" s="44" t="n">
        <v>0</v>
      </c>
      <c r="I119" s="44" t="n">
        <v>0</v>
      </c>
      <c r="J119" s="44" t="n">
        <v>0</v>
      </c>
      <c r="K119" s="44" t="n">
        <v>0</v>
      </c>
      <c r="L119" s="44" t="n">
        <v>0</v>
      </c>
      <c r="M119" s="44">
        <f>'Reg Output - Commissioned'!M14/40</f>
        <v/>
      </c>
      <c r="N119" s="44">
        <f>'Reg Output - Commissioned'!M14/40</f>
        <v/>
      </c>
      <c r="O119" s="44">
        <f>'Reg Output - Commissioned'!M14/40</f>
        <v/>
      </c>
      <c r="P119" s="44">
        <f>'Reg Output - Commissioned'!M14/40</f>
        <v/>
      </c>
    </row>
    <row r="120">
      <c r="A120" s="17" t="inlineStr">
        <is>
          <t xml:space="preserve">    Vintage FY2031E</t>
        </is>
      </c>
      <c r="B120" s="26" t="n">
        <v>0</v>
      </c>
      <c r="C120" s="26" t="n">
        <v>0</v>
      </c>
      <c r="D120" s="26" t="n">
        <v>0</v>
      </c>
      <c r="E120" s="26" t="n">
        <v>0</v>
      </c>
      <c r="F120" s="26" t="n">
        <v>0</v>
      </c>
      <c r="G120" s="44" t="n">
        <v>0</v>
      </c>
      <c r="H120" s="44" t="n">
        <v>0</v>
      </c>
      <c r="I120" s="44" t="n">
        <v>0</v>
      </c>
      <c r="J120" s="44" t="n">
        <v>0</v>
      </c>
      <c r="K120" s="44" t="n">
        <v>0</v>
      </c>
      <c r="L120" s="44" t="n">
        <v>0</v>
      </c>
      <c r="M120" s="44" t="n">
        <v>0</v>
      </c>
      <c r="N120" s="44">
        <f>'Reg Output - Commissioned'!N14/40</f>
        <v/>
      </c>
      <c r="O120" s="44">
        <f>'Reg Output - Commissioned'!N14/40</f>
        <v/>
      </c>
      <c r="P120" s="44">
        <f>'Reg Output - Commissioned'!N14/40</f>
        <v/>
      </c>
    </row>
    <row r="121">
      <c r="A121" s="17" t="inlineStr">
        <is>
          <t xml:space="preserve">    Vintage FY2032E</t>
        </is>
      </c>
      <c r="B121" s="26" t="n">
        <v>0</v>
      </c>
      <c r="C121" s="26" t="n">
        <v>0</v>
      </c>
      <c r="D121" s="26" t="n">
        <v>0</v>
      </c>
      <c r="E121" s="26" t="n">
        <v>0</v>
      </c>
      <c r="F121" s="26" t="n">
        <v>0</v>
      </c>
      <c r="G121" s="44" t="n">
        <v>0</v>
      </c>
      <c r="H121" s="44" t="n">
        <v>0</v>
      </c>
      <c r="I121" s="44" t="n">
        <v>0</v>
      </c>
      <c r="J121" s="44" t="n">
        <v>0</v>
      </c>
      <c r="K121" s="44" t="n">
        <v>0</v>
      </c>
      <c r="L121" s="44" t="n">
        <v>0</v>
      </c>
      <c r="M121" s="44" t="n">
        <v>0</v>
      </c>
      <c r="N121" s="44" t="n">
        <v>0</v>
      </c>
      <c r="O121" s="44">
        <f>'Reg Output - Commissioned'!O14/40</f>
        <v/>
      </c>
      <c r="P121" s="44">
        <f>'Reg Output - Commissioned'!O14/40</f>
        <v/>
      </c>
    </row>
    <row r="122">
      <c r="A122" s="17" t="inlineStr">
        <is>
          <t xml:space="preserve">    Vintage FY2033E</t>
        </is>
      </c>
      <c r="B122" s="26" t="n">
        <v>0</v>
      </c>
      <c r="C122" s="26" t="n">
        <v>0</v>
      </c>
      <c r="D122" s="26" t="n">
        <v>0</v>
      </c>
      <c r="E122" s="26" t="n">
        <v>0</v>
      </c>
      <c r="F122" s="26" t="n">
        <v>0</v>
      </c>
      <c r="G122" s="44" t="n">
        <v>0</v>
      </c>
      <c r="H122" s="44" t="n">
        <v>0</v>
      </c>
      <c r="I122" s="44" t="n">
        <v>0</v>
      </c>
      <c r="J122" s="44" t="n">
        <v>0</v>
      </c>
      <c r="K122" s="44" t="n">
        <v>0</v>
      </c>
      <c r="L122" s="44" t="n">
        <v>0</v>
      </c>
      <c r="M122" s="44" t="n">
        <v>0</v>
      </c>
      <c r="N122" s="44" t="n">
        <v>0</v>
      </c>
      <c r="O122" s="44" t="n">
        <v>0</v>
      </c>
      <c r="P122" s="44">
        <f>'Reg Output - Commissioned'!P14/40</f>
        <v/>
      </c>
    </row>
    <row r="123">
      <c r="A123" s="17" t="inlineStr">
        <is>
          <t xml:space="preserve">    AC10 Total Depn</t>
        </is>
      </c>
      <c r="B123" s="43">
        <f>SUM(B113:B122)</f>
        <v/>
      </c>
      <c r="C123" s="43">
        <f>SUM(C113:C122)</f>
        <v/>
      </c>
      <c r="D123" s="43">
        <f>SUM(D113:D122)</f>
        <v/>
      </c>
      <c r="E123" s="43">
        <f>SUM(E113:E122)</f>
        <v/>
      </c>
      <c r="F123" s="43">
        <f>SUM(F113:F122)</f>
        <v/>
      </c>
      <c r="G123" s="43">
        <f>SUM(G113:G122)</f>
        <v/>
      </c>
      <c r="H123" s="43">
        <f>SUM(H113:H122)</f>
        <v/>
      </c>
      <c r="I123" s="43">
        <f>SUM(I113:I122)</f>
        <v/>
      </c>
      <c r="J123" s="43">
        <f>SUM(J113:J122)</f>
        <v/>
      </c>
      <c r="K123" s="43">
        <f>SUM(K113:K122)</f>
        <v/>
      </c>
      <c r="L123" s="43">
        <f>SUM(L113:L122)</f>
        <v/>
      </c>
      <c r="M123" s="43">
        <f>SUM(M113:M122)</f>
        <v/>
      </c>
      <c r="N123" s="43">
        <f>SUM(N113:N122)</f>
        <v/>
      </c>
      <c r="O123" s="43">
        <f>SUM(O113:O122)</f>
        <v/>
      </c>
      <c r="P123" s="43">
        <f>SUM(P113:P122)</f>
        <v/>
      </c>
    </row>
    <row r="124">
      <c r="A124" s="15" t="inlineStr">
        <is>
          <t>AC11  Land  |  Useful Life: 999yr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>
      <c r="A125" s="17" t="inlineStr">
        <is>
          <t xml:space="preserve">    Vintage FY2024E</t>
        </is>
      </c>
      <c r="B125" s="26" t="n">
        <v>0</v>
      </c>
      <c r="C125" s="26" t="n">
        <v>0</v>
      </c>
      <c r="D125" s="26" t="n">
        <v>0</v>
      </c>
      <c r="E125" s="26" t="n">
        <v>0</v>
      </c>
      <c r="F125" s="26" t="n">
        <v>0</v>
      </c>
      <c r="G125" s="44" t="n">
        <v>0</v>
      </c>
      <c r="H125" s="44" t="n">
        <v>0</v>
      </c>
      <c r="I125" s="44" t="n">
        <v>0</v>
      </c>
      <c r="J125" s="44" t="n">
        <v>0</v>
      </c>
      <c r="K125" s="44" t="n">
        <v>0</v>
      </c>
      <c r="L125" s="44" t="n">
        <v>0</v>
      </c>
      <c r="M125" s="44" t="n">
        <v>0</v>
      </c>
      <c r="N125" s="44" t="n">
        <v>0</v>
      </c>
      <c r="O125" s="44" t="n">
        <v>0</v>
      </c>
      <c r="P125" s="44" t="n">
        <v>0</v>
      </c>
    </row>
    <row r="126">
      <c r="A126" s="17" t="inlineStr">
        <is>
          <t xml:space="preserve">    Vintage FY2025E</t>
        </is>
      </c>
      <c r="B126" s="26" t="n">
        <v>0</v>
      </c>
      <c r="C126" s="26" t="n">
        <v>0</v>
      </c>
      <c r="D126" s="26" t="n">
        <v>0</v>
      </c>
      <c r="E126" s="26" t="n">
        <v>0</v>
      </c>
      <c r="F126" s="26" t="n">
        <v>0</v>
      </c>
      <c r="G126" s="44" t="n">
        <v>0</v>
      </c>
      <c r="H126" s="44" t="n">
        <v>0</v>
      </c>
      <c r="I126" s="44" t="n">
        <v>0</v>
      </c>
      <c r="J126" s="44" t="n">
        <v>0</v>
      </c>
      <c r="K126" s="44" t="n">
        <v>0</v>
      </c>
      <c r="L126" s="44" t="n">
        <v>0</v>
      </c>
      <c r="M126" s="44" t="n">
        <v>0</v>
      </c>
      <c r="N126" s="44" t="n">
        <v>0</v>
      </c>
      <c r="O126" s="44" t="n">
        <v>0</v>
      </c>
      <c r="P126" s="44" t="n">
        <v>0</v>
      </c>
    </row>
    <row r="127">
      <c r="A127" s="17" t="inlineStr">
        <is>
          <t xml:space="preserve">    Vintage FY2026E</t>
        </is>
      </c>
      <c r="B127" s="26" t="n">
        <v>0</v>
      </c>
      <c r="C127" s="26" t="n">
        <v>0</v>
      </c>
      <c r="D127" s="26" t="n">
        <v>0</v>
      </c>
      <c r="E127" s="26" t="n">
        <v>0</v>
      </c>
      <c r="F127" s="26" t="n">
        <v>0</v>
      </c>
      <c r="G127" s="44" t="n">
        <v>0</v>
      </c>
      <c r="H127" s="44" t="n">
        <v>0</v>
      </c>
      <c r="I127" s="44" t="n">
        <v>0</v>
      </c>
      <c r="J127" s="44" t="n">
        <v>0</v>
      </c>
      <c r="K127" s="44" t="n">
        <v>0</v>
      </c>
      <c r="L127" s="44" t="n">
        <v>0</v>
      </c>
      <c r="M127" s="44" t="n">
        <v>0</v>
      </c>
      <c r="N127" s="44" t="n">
        <v>0</v>
      </c>
      <c r="O127" s="44" t="n">
        <v>0</v>
      </c>
      <c r="P127" s="44" t="n">
        <v>0</v>
      </c>
    </row>
    <row r="128">
      <c r="A128" s="17" t="inlineStr">
        <is>
          <t xml:space="preserve">    Vintage FY2027E</t>
        </is>
      </c>
      <c r="B128" s="26" t="n">
        <v>0</v>
      </c>
      <c r="C128" s="26" t="n">
        <v>0</v>
      </c>
      <c r="D128" s="26" t="n">
        <v>0</v>
      </c>
      <c r="E128" s="26" t="n">
        <v>0</v>
      </c>
      <c r="F128" s="26" t="n">
        <v>0</v>
      </c>
      <c r="G128" s="44" t="n">
        <v>0</v>
      </c>
      <c r="H128" s="44" t="n">
        <v>0</v>
      </c>
      <c r="I128" s="44" t="n">
        <v>0</v>
      </c>
      <c r="J128" s="44" t="n">
        <v>0</v>
      </c>
      <c r="K128" s="44" t="n">
        <v>0</v>
      </c>
      <c r="L128" s="44" t="n">
        <v>0</v>
      </c>
      <c r="M128" s="44" t="n">
        <v>0</v>
      </c>
      <c r="N128" s="44" t="n">
        <v>0</v>
      </c>
      <c r="O128" s="44" t="n">
        <v>0</v>
      </c>
      <c r="P128" s="44" t="n">
        <v>0</v>
      </c>
    </row>
    <row r="129">
      <c r="A129" s="17" t="inlineStr">
        <is>
          <t xml:space="preserve">    Vintage FY2028E</t>
        </is>
      </c>
      <c r="B129" s="26" t="n">
        <v>0</v>
      </c>
      <c r="C129" s="26" t="n">
        <v>0</v>
      </c>
      <c r="D129" s="26" t="n">
        <v>0</v>
      </c>
      <c r="E129" s="26" t="n">
        <v>0</v>
      </c>
      <c r="F129" s="26" t="n">
        <v>0</v>
      </c>
      <c r="G129" s="44" t="n">
        <v>0</v>
      </c>
      <c r="H129" s="44" t="n">
        <v>0</v>
      </c>
      <c r="I129" s="44" t="n">
        <v>0</v>
      </c>
      <c r="J129" s="44" t="n">
        <v>0</v>
      </c>
      <c r="K129" s="44" t="n">
        <v>0</v>
      </c>
      <c r="L129" s="44" t="n">
        <v>0</v>
      </c>
      <c r="M129" s="44" t="n">
        <v>0</v>
      </c>
      <c r="N129" s="44" t="n">
        <v>0</v>
      </c>
      <c r="O129" s="44" t="n">
        <v>0</v>
      </c>
      <c r="P129" s="44" t="n">
        <v>0</v>
      </c>
    </row>
    <row r="130">
      <c r="A130" s="17" t="inlineStr">
        <is>
          <t xml:space="preserve">    Vintage FY2029E</t>
        </is>
      </c>
      <c r="B130" s="26" t="n">
        <v>0</v>
      </c>
      <c r="C130" s="26" t="n">
        <v>0</v>
      </c>
      <c r="D130" s="26" t="n">
        <v>0</v>
      </c>
      <c r="E130" s="26" t="n">
        <v>0</v>
      </c>
      <c r="F130" s="26" t="n">
        <v>0</v>
      </c>
      <c r="G130" s="44" t="n">
        <v>0</v>
      </c>
      <c r="H130" s="44" t="n">
        <v>0</v>
      </c>
      <c r="I130" s="44" t="n">
        <v>0</v>
      </c>
      <c r="J130" s="44" t="n">
        <v>0</v>
      </c>
      <c r="K130" s="44" t="n">
        <v>0</v>
      </c>
      <c r="L130" s="44" t="n">
        <v>0</v>
      </c>
      <c r="M130" s="44" t="n">
        <v>0</v>
      </c>
      <c r="N130" s="44" t="n">
        <v>0</v>
      </c>
      <c r="O130" s="44" t="n">
        <v>0</v>
      </c>
      <c r="P130" s="44" t="n">
        <v>0</v>
      </c>
    </row>
    <row r="131">
      <c r="A131" s="17" t="inlineStr">
        <is>
          <t xml:space="preserve">    Vintage FY2030E</t>
        </is>
      </c>
      <c r="B131" s="26" t="n">
        <v>0</v>
      </c>
      <c r="C131" s="26" t="n">
        <v>0</v>
      </c>
      <c r="D131" s="26" t="n">
        <v>0</v>
      </c>
      <c r="E131" s="26" t="n">
        <v>0</v>
      </c>
      <c r="F131" s="26" t="n">
        <v>0</v>
      </c>
      <c r="G131" s="44" t="n">
        <v>0</v>
      </c>
      <c r="H131" s="44" t="n">
        <v>0</v>
      </c>
      <c r="I131" s="44" t="n">
        <v>0</v>
      </c>
      <c r="J131" s="44" t="n">
        <v>0</v>
      </c>
      <c r="K131" s="44" t="n">
        <v>0</v>
      </c>
      <c r="L131" s="44" t="n">
        <v>0</v>
      </c>
      <c r="M131" s="44" t="n">
        <v>0</v>
      </c>
      <c r="N131" s="44" t="n">
        <v>0</v>
      </c>
      <c r="O131" s="44" t="n">
        <v>0</v>
      </c>
      <c r="P131" s="44" t="n">
        <v>0</v>
      </c>
    </row>
    <row r="132">
      <c r="A132" s="17" t="inlineStr">
        <is>
          <t xml:space="preserve">    Vintage FY2031E</t>
        </is>
      </c>
      <c r="B132" s="26" t="n">
        <v>0</v>
      </c>
      <c r="C132" s="26" t="n">
        <v>0</v>
      </c>
      <c r="D132" s="26" t="n">
        <v>0</v>
      </c>
      <c r="E132" s="26" t="n">
        <v>0</v>
      </c>
      <c r="F132" s="26" t="n">
        <v>0</v>
      </c>
      <c r="G132" s="44" t="n">
        <v>0</v>
      </c>
      <c r="H132" s="44" t="n">
        <v>0</v>
      </c>
      <c r="I132" s="44" t="n">
        <v>0</v>
      </c>
      <c r="J132" s="44" t="n">
        <v>0</v>
      </c>
      <c r="K132" s="44" t="n">
        <v>0</v>
      </c>
      <c r="L132" s="44" t="n">
        <v>0</v>
      </c>
      <c r="M132" s="44" t="n">
        <v>0</v>
      </c>
      <c r="N132" s="44" t="n">
        <v>0</v>
      </c>
      <c r="O132" s="44" t="n">
        <v>0</v>
      </c>
      <c r="P132" s="44" t="n">
        <v>0</v>
      </c>
    </row>
    <row r="133">
      <c r="A133" s="17" t="inlineStr">
        <is>
          <t xml:space="preserve">    Vintage FY2032E</t>
        </is>
      </c>
      <c r="B133" s="26" t="n">
        <v>0</v>
      </c>
      <c r="C133" s="26" t="n">
        <v>0</v>
      </c>
      <c r="D133" s="26" t="n">
        <v>0</v>
      </c>
      <c r="E133" s="26" t="n">
        <v>0</v>
      </c>
      <c r="F133" s="26" t="n">
        <v>0</v>
      </c>
      <c r="G133" s="44" t="n">
        <v>0</v>
      </c>
      <c r="H133" s="44" t="n">
        <v>0</v>
      </c>
      <c r="I133" s="44" t="n">
        <v>0</v>
      </c>
      <c r="J133" s="44" t="n">
        <v>0</v>
      </c>
      <c r="K133" s="44" t="n">
        <v>0</v>
      </c>
      <c r="L133" s="44" t="n">
        <v>0</v>
      </c>
      <c r="M133" s="44" t="n">
        <v>0</v>
      </c>
      <c r="N133" s="44" t="n">
        <v>0</v>
      </c>
      <c r="O133" s="44" t="n">
        <v>0</v>
      </c>
      <c r="P133" s="44" t="n">
        <v>0</v>
      </c>
    </row>
    <row r="134">
      <c r="A134" s="17" t="inlineStr">
        <is>
          <t xml:space="preserve">    Vintage FY2033E</t>
        </is>
      </c>
      <c r="B134" s="26" t="n">
        <v>0</v>
      </c>
      <c r="C134" s="26" t="n">
        <v>0</v>
      </c>
      <c r="D134" s="26" t="n">
        <v>0</v>
      </c>
      <c r="E134" s="26" t="n">
        <v>0</v>
      </c>
      <c r="F134" s="26" t="n">
        <v>0</v>
      </c>
      <c r="G134" s="44" t="n">
        <v>0</v>
      </c>
      <c r="H134" s="44" t="n">
        <v>0</v>
      </c>
      <c r="I134" s="44" t="n">
        <v>0</v>
      </c>
      <c r="J134" s="44" t="n">
        <v>0</v>
      </c>
      <c r="K134" s="44" t="n">
        <v>0</v>
      </c>
      <c r="L134" s="44" t="n">
        <v>0</v>
      </c>
      <c r="M134" s="44" t="n">
        <v>0</v>
      </c>
      <c r="N134" s="44" t="n">
        <v>0</v>
      </c>
      <c r="O134" s="44" t="n">
        <v>0</v>
      </c>
      <c r="P134" s="44" t="n">
        <v>0</v>
      </c>
    </row>
    <row r="135">
      <c r="A135" s="17" t="inlineStr">
        <is>
          <t xml:space="preserve">    AC11 Total Depn</t>
        </is>
      </c>
      <c r="B135" s="43">
        <f>SUM(B125:B134)</f>
        <v/>
      </c>
      <c r="C135" s="43">
        <f>SUM(C125:C134)</f>
        <v/>
      </c>
      <c r="D135" s="43">
        <f>SUM(D125:D134)</f>
        <v/>
      </c>
      <c r="E135" s="43">
        <f>SUM(E125:E134)</f>
        <v/>
      </c>
      <c r="F135" s="43">
        <f>SUM(F125:F134)</f>
        <v/>
      </c>
      <c r="G135" s="43">
        <f>SUM(G125:G134)</f>
        <v/>
      </c>
      <c r="H135" s="43">
        <f>SUM(H125:H134)</f>
        <v/>
      </c>
      <c r="I135" s="43">
        <f>SUM(I125:I134)</f>
        <v/>
      </c>
      <c r="J135" s="43">
        <f>SUM(J125:J134)</f>
        <v/>
      </c>
      <c r="K135" s="43">
        <f>SUM(K125:K134)</f>
        <v/>
      </c>
      <c r="L135" s="43">
        <f>SUM(L125:L134)</f>
        <v/>
      </c>
      <c r="M135" s="43">
        <f>SUM(M125:M134)</f>
        <v/>
      </c>
      <c r="N135" s="43">
        <f>SUM(N125:N134)</f>
        <v/>
      </c>
      <c r="O135" s="43">
        <f>SUM(O125:O134)</f>
        <v/>
      </c>
      <c r="P135" s="43">
        <f>SUM(P125:P134)</f>
        <v/>
      </c>
    </row>
    <row r="136">
      <c r="A136" s="15" t="inlineStr">
        <is>
          <t>AC12  IT Systems  |  Useful Life: 5yr</t>
        </is>
      </c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</row>
    <row r="137">
      <c r="A137" s="17" t="inlineStr">
        <is>
          <t xml:space="preserve">    Vintage FY2024E</t>
        </is>
      </c>
      <c r="B137" s="26" t="n">
        <v>0</v>
      </c>
      <c r="C137" s="26" t="n">
        <v>0</v>
      </c>
      <c r="D137" s="26" t="n">
        <v>0</v>
      </c>
      <c r="E137" s="26" t="n">
        <v>0</v>
      </c>
      <c r="F137" s="26" t="n">
        <v>0</v>
      </c>
      <c r="G137" s="44">
        <f>'Reg Output - Commissioned'!G16/5</f>
        <v/>
      </c>
      <c r="H137" s="44">
        <f>'Reg Output - Commissioned'!G16/5</f>
        <v/>
      </c>
      <c r="I137" s="44">
        <f>'Reg Output - Commissioned'!G16/5</f>
        <v/>
      </c>
      <c r="J137" s="44">
        <f>'Reg Output - Commissioned'!G16/5</f>
        <v/>
      </c>
      <c r="K137" s="44">
        <f>'Reg Output - Commissioned'!G16/5</f>
        <v/>
      </c>
      <c r="L137" s="44" t="n">
        <v>0</v>
      </c>
      <c r="M137" s="44" t="n">
        <v>0</v>
      </c>
      <c r="N137" s="44" t="n">
        <v>0</v>
      </c>
      <c r="O137" s="44" t="n">
        <v>0</v>
      </c>
      <c r="P137" s="44" t="n">
        <v>0</v>
      </c>
    </row>
    <row r="138">
      <c r="A138" s="17" t="inlineStr">
        <is>
          <t xml:space="preserve">    Vintage FY2025E</t>
        </is>
      </c>
      <c r="B138" s="26" t="n">
        <v>0</v>
      </c>
      <c r="C138" s="26" t="n">
        <v>0</v>
      </c>
      <c r="D138" s="26" t="n">
        <v>0</v>
      </c>
      <c r="E138" s="26" t="n">
        <v>0</v>
      </c>
      <c r="F138" s="26" t="n">
        <v>0</v>
      </c>
      <c r="G138" s="44" t="n">
        <v>0</v>
      </c>
      <c r="H138" s="44">
        <f>'Reg Output - Commissioned'!H16/5</f>
        <v/>
      </c>
      <c r="I138" s="44">
        <f>'Reg Output - Commissioned'!H16/5</f>
        <v/>
      </c>
      <c r="J138" s="44">
        <f>'Reg Output - Commissioned'!H16/5</f>
        <v/>
      </c>
      <c r="K138" s="44">
        <f>'Reg Output - Commissioned'!H16/5</f>
        <v/>
      </c>
      <c r="L138" s="44">
        <f>'Reg Output - Commissioned'!H16/5</f>
        <v/>
      </c>
      <c r="M138" s="44" t="n">
        <v>0</v>
      </c>
      <c r="N138" s="44" t="n">
        <v>0</v>
      </c>
      <c r="O138" s="44" t="n">
        <v>0</v>
      </c>
      <c r="P138" s="44" t="n">
        <v>0</v>
      </c>
    </row>
    <row r="139">
      <c r="A139" s="17" t="inlineStr">
        <is>
          <t xml:space="preserve">    Vintage FY2026E</t>
        </is>
      </c>
      <c r="B139" s="26" t="n">
        <v>0</v>
      </c>
      <c r="C139" s="26" t="n">
        <v>0</v>
      </c>
      <c r="D139" s="26" t="n">
        <v>0</v>
      </c>
      <c r="E139" s="26" t="n">
        <v>0</v>
      </c>
      <c r="F139" s="26" t="n">
        <v>0</v>
      </c>
      <c r="G139" s="44" t="n">
        <v>0</v>
      </c>
      <c r="H139" s="44" t="n">
        <v>0</v>
      </c>
      <c r="I139" s="44">
        <f>'Reg Output - Commissioned'!I16/5</f>
        <v/>
      </c>
      <c r="J139" s="44">
        <f>'Reg Output - Commissioned'!I16/5</f>
        <v/>
      </c>
      <c r="K139" s="44">
        <f>'Reg Output - Commissioned'!I16/5</f>
        <v/>
      </c>
      <c r="L139" s="44">
        <f>'Reg Output - Commissioned'!I16/5</f>
        <v/>
      </c>
      <c r="M139" s="44">
        <f>'Reg Output - Commissioned'!I16/5</f>
        <v/>
      </c>
      <c r="N139" s="44" t="n">
        <v>0</v>
      </c>
      <c r="O139" s="44" t="n">
        <v>0</v>
      </c>
      <c r="P139" s="44" t="n">
        <v>0</v>
      </c>
    </row>
    <row r="140">
      <c r="A140" s="17" t="inlineStr">
        <is>
          <t xml:space="preserve">    Vintage FY2027E</t>
        </is>
      </c>
      <c r="B140" s="26" t="n">
        <v>0</v>
      </c>
      <c r="C140" s="26" t="n">
        <v>0</v>
      </c>
      <c r="D140" s="26" t="n">
        <v>0</v>
      </c>
      <c r="E140" s="26" t="n">
        <v>0</v>
      </c>
      <c r="F140" s="26" t="n">
        <v>0</v>
      </c>
      <c r="G140" s="44" t="n">
        <v>0</v>
      </c>
      <c r="H140" s="44" t="n">
        <v>0</v>
      </c>
      <c r="I140" s="44" t="n">
        <v>0</v>
      </c>
      <c r="J140" s="44">
        <f>'Reg Output - Commissioned'!J16/5</f>
        <v/>
      </c>
      <c r="K140" s="44">
        <f>'Reg Output - Commissioned'!J16/5</f>
        <v/>
      </c>
      <c r="L140" s="44">
        <f>'Reg Output - Commissioned'!J16/5</f>
        <v/>
      </c>
      <c r="M140" s="44">
        <f>'Reg Output - Commissioned'!J16/5</f>
        <v/>
      </c>
      <c r="N140" s="44">
        <f>'Reg Output - Commissioned'!J16/5</f>
        <v/>
      </c>
      <c r="O140" s="44" t="n">
        <v>0</v>
      </c>
      <c r="P140" s="44" t="n">
        <v>0</v>
      </c>
    </row>
    <row r="141">
      <c r="A141" s="17" t="inlineStr">
        <is>
          <t xml:space="preserve">    Vintage FY2028E</t>
        </is>
      </c>
      <c r="B141" s="26" t="n">
        <v>0</v>
      </c>
      <c r="C141" s="26" t="n">
        <v>0</v>
      </c>
      <c r="D141" s="26" t="n">
        <v>0</v>
      </c>
      <c r="E141" s="26" t="n">
        <v>0</v>
      </c>
      <c r="F141" s="26" t="n">
        <v>0</v>
      </c>
      <c r="G141" s="44" t="n">
        <v>0</v>
      </c>
      <c r="H141" s="44" t="n">
        <v>0</v>
      </c>
      <c r="I141" s="44" t="n">
        <v>0</v>
      </c>
      <c r="J141" s="44" t="n">
        <v>0</v>
      </c>
      <c r="K141" s="44">
        <f>'Reg Output - Commissioned'!K16/5</f>
        <v/>
      </c>
      <c r="L141" s="44">
        <f>'Reg Output - Commissioned'!K16/5</f>
        <v/>
      </c>
      <c r="M141" s="44">
        <f>'Reg Output - Commissioned'!K16/5</f>
        <v/>
      </c>
      <c r="N141" s="44">
        <f>'Reg Output - Commissioned'!K16/5</f>
        <v/>
      </c>
      <c r="O141" s="44">
        <f>'Reg Output - Commissioned'!K16/5</f>
        <v/>
      </c>
      <c r="P141" s="44" t="n">
        <v>0</v>
      </c>
    </row>
    <row r="142">
      <c r="A142" s="17" t="inlineStr">
        <is>
          <t xml:space="preserve">    Vintage FY2029E</t>
        </is>
      </c>
      <c r="B142" s="26" t="n">
        <v>0</v>
      </c>
      <c r="C142" s="26" t="n">
        <v>0</v>
      </c>
      <c r="D142" s="26" t="n">
        <v>0</v>
      </c>
      <c r="E142" s="26" t="n">
        <v>0</v>
      </c>
      <c r="F142" s="26" t="n">
        <v>0</v>
      </c>
      <c r="G142" s="44" t="n">
        <v>0</v>
      </c>
      <c r="H142" s="44" t="n">
        <v>0</v>
      </c>
      <c r="I142" s="44" t="n">
        <v>0</v>
      </c>
      <c r="J142" s="44" t="n">
        <v>0</v>
      </c>
      <c r="K142" s="44" t="n">
        <v>0</v>
      </c>
      <c r="L142" s="44">
        <f>'Reg Output - Commissioned'!L16/5</f>
        <v/>
      </c>
      <c r="M142" s="44">
        <f>'Reg Output - Commissioned'!L16/5</f>
        <v/>
      </c>
      <c r="N142" s="44">
        <f>'Reg Output - Commissioned'!L16/5</f>
        <v/>
      </c>
      <c r="O142" s="44">
        <f>'Reg Output - Commissioned'!L16/5</f>
        <v/>
      </c>
      <c r="P142" s="44">
        <f>'Reg Output - Commissioned'!L16/5</f>
        <v/>
      </c>
    </row>
    <row r="143">
      <c r="A143" s="17" t="inlineStr">
        <is>
          <t xml:space="preserve">    Vintage FY2030E</t>
        </is>
      </c>
      <c r="B143" s="26" t="n">
        <v>0</v>
      </c>
      <c r="C143" s="26" t="n">
        <v>0</v>
      </c>
      <c r="D143" s="26" t="n">
        <v>0</v>
      </c>
      <c r="E143" s="26" t="n">
        <v>0</v>
      </c>
      <c r="F143" s="26" t="n">
        <v>0</v>
      </c>
      <c r="G143" s="44" t="n">
        <v>0</v>
      </c>
      <c r="H143" s="44" t="n">
        <v>0</v>
      </c>
      <c r="I143" s="44" t="n">
        <v>0</v>
      </c>
      <c r="J143" s="44" t="n">
        <v>0</v>
      </c>
      <c r="K143" s="44" t="n">
        <v>0</v>
      </c>
      <c r="L143" s="44" t="n">
        <v>0</v>
      </c>
      <c r="M143" s="44">
        <f>'Reg Output - Commissioned'!M16/5</f>
        <v/>
      </c>
      <c r="N143" s="44">
        <f>'Reg Output - Commissioned'!M16/5</f>
        <v/>
      </c>
      <c r="O143" s="44">
        <f>'Reg Output - Commissioned'!M16/5</f>
        <v/>
      </c>
      <c r="P143" s="44">
        <f>'Reg Output - Commissioned'!M16/5</f>
        <v/>
      </c>
    </row>
    <row r="144">
      <c r="A144" s="17" t="inlineStr">
        <is>
          <t xml:space="preserve">    Vintage FY2031E</t>
        </is>
      </c>
      <c r="B144" s="26" t="n">
        <v>0</v>
      </c>
      <c r="C144" s="26" t="n">
        <v>0</v>
      </c>
      <c r="D144" s="26" t="n">
        <v>0</v>
      </c>
      <c r="E144" s="26" t="n">
        <v>0</v>
      </c>
      <c r="F144" s="26" t="n">
        <v>0</v>
      </c>
      <c r="G144" s="44" t="n">
        <v>0</v>
      </c>
      <c r="H144" s="44" t="n">
        <v>0</v>
      </c>
      <c r="I144" s="44" t="n">
        <v>0</v>
      </c>
      <c r="J144" s="44" t="n">
        <v>0</v>
      </c>
      <c r="K144" s="44" t="n">
        <v>0</v>
      </c>
      <c r="L144" s="44" t="n">
        <v>0</v>
      </c>
      <c r="M144" s="44" t="n">
        <v>0</v>
      </c>
      <c r="N144" s="44">
        <f>'Reg Output - Commissioned'!N16/5</f>
        <v/>
      </c>
      <c r="O144" s="44">
        <f>'Reg Output - Commissioned'!N16/5</f>
        <v/>
      </c>
      <c r="P144" s="44">
        <f>'Reg Output - Commissioned'!N16/5</f>
        <v/>
      </c>
    </row>
    <row r="145">
      <c r="A145" s="17" t="inlineStr">
        <is>
          <t xml:space="preserve">    Vintage FY2032E</t>
        </is>
      </c>
      <c r="B145" s="26" t="n">
        <v>0</v>
      </c>
      <c r="C145" s="26" t="n">
        <v>0</v>
      </c>
      <c r="D145" s="26" t="n">
        <v>0</v>
      </c>
      <c r="E145" s="26" t="n">
        <v>0</v>
      </c>
      <c r="F145" s="26" t="n">
        <v>0</v>
      </c>
      <c r="G145" s="44" t="n">
        <v>0</v>
      </c>
      <c r="H145" s="44" t="n">
        <v>0</v>
      </c>
      <c r="I145" s="44" t="n">
        <v>0</v>
      </c>
      <c r="J145" s="44" t="n">
        <v>0</v>
      </c>
      <c r="K145" s="44" t="n">
        <v>0</v>
      </c>
      <c r="L145" s="44" t="n">
        <v>0</v>
      </c>
      <c r="M145" s="44" t="n">
        <v>0</v>
      </c>
      <c r="N145" s="44" t="n">
        <v>0</v>
      </c>
      <c r="O145" s="44">
        <f>'Reg Output - Commissioned'!O16/5</f>
        <v/>
      </c>
      <c r="P145" s="44">
        <f>'Reg Output - Commissioned'!O16/5</f>
        <v/>
      </c>
    </row>
    <row r="146">
      <c r="A146" s="17" t="inlineStr">
        <is>
          <t xml:space="preserve">    Vintage FY2033E</t>
        </is>
      </c>
      <c r="B146" s="26" t="n">
        <v>0</v>
      </c>
      <c r="C146" s="26" t="n">
        <v>0</v>
      </c>
      <c r="D146" s="26" t="n">
        <v>0</v>
      </c>
      <c r="E146" s="26" t="n">
        <v>0</v>
      </c>
      <c r="F146" s="26" t="n">
        <v>0</v>
      </c>
      <c r="G146" s="44" t="n">
        <v>0</v>
      </c>
      <c r="H146" s="44" t="n">
        <v>0</v>
      </c>
      <c r="I146" s="44" t="n">
        <v>0</v>
      </c>
      <c r="J146" s="44" t="n">
        <v>0</v>
      </c>
      <c r="K146" s="44" t="n">
        <v>0</v>
      </c>
      <c r="L146" s="44" t="n">
        <v>0</v>
      </c>
      <c r="M146" s="44" t="n">
        <v>0</v>
      </c>
      <c r="N146" s="44" t="n">
        <v>0</v>
      </c>
      <c r="O146" s="44" t="n">
        <v>0</v>
      </c>
      <c r="P146" s="44">
        <f>'Reg Output - Commissioned'!P16/5</f>
        <v/>
      </c>
    </row>
    <row r="147">
      <c r="A147" s="17" t="inlineStr">
        <is>
          <t xml:space="preserve">    AC12 Total Depn</t>
        </is>
      </c>
      <c r="B147" s="43">
        <f>SUM(B137:B146)</f>
        <v/>
      </c>
      <c r="C147" s="43">
        <f>SUM(C137:C146)</f>
        <v/>
      </c>
      <c r="D147" s="43">
        <f>SUM(D137:D146)</f>
        <v/>
      </c>
      <c r="E147" s="43">
        <f>SUM(E137:E146)</f>
        <v/>
      </c>
      <c r="F147" s="43">
        <f>SUM(F137:F146)</f>
        <v/>
      </c>
      <c r="G147" s="43">
        <f>SUM(G137:G146)</f>
        <v/>
      </c>
      <c r="H147" s="43">
        <f>SUM(H137:H146)</f>
        <v/>
      </c>
      <c r="I147" s="43">
        <f>SUM(I137:I146)</f>
        <v/>
      </c>
      <c r="J147" s="43">
        <f>SUM(J137:J146)</f>
        <v/>
      </c>
      <c r="K147" s="43">
        <f>SUM(K137:K146)</f>
        <v/>
      </c>
      <c r="L147" s="43">
        <f>SUM(L137:L146)</f>
        <v/>
      </c>
      <c r="M147" s="43">
        <f>SUM(M137:M146)</f>
        <v/>
      </c>
      <c r="N147" s="43">
        <f>SUM(N137:N146)</f>
        <v/>
      </c>
      <c r="O147" s="43">
        <f>SUM(O137:O146)</f>
        <v/>
      </c>
      <c r="P147" s="43">
        <f>SUM(P137:P146)</f>
        <v/>
      </c>
    </row>
    <row r="148">
      <c r="A148" s="15" t="inlineStr">
        <is>
          <t>AC13  Battery Storage  |  Useful Life: 15yr</t>
        </is>
      </c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</row>
    <row r="149">
      <c r="A149" s="17" t="inlineStr">
        <is>
          <t xml:space="preserve">    Vintage FY2024E</t>
        </is>
      </c>
      <c r="B149" s="26" t="n">
        <v>0</v>
      </c>
      <c r="C149" s="26" t="n">
        <v>0</v>
      </c>
      <c r="D149" s="26" t="n">
        <v>0</v>
      </c>
      <c r="E149" s="26" t="n">
        <v>0</v>
      </c>
      <c r="F149" s="26" t="n">
        <v>0</v>
      </c>
      <c r="G149" s="44">
        <f>'Reg Output - Commissioned'!G17/15</f>
        <v/>
      </c>
      <c r="H149" s="44">
        <f>'Reg Output - Commissioned'!G17/15</f>
        <v/>
      </c>
      <c r="I149" s="44">
        <f>'Reg Output - Commissioned'!G17/15</f>
        <v/>
      </c>
      <c r="J149" s="44">
        <f>'Reg Output - Commissioned'!G17/15</f>
        <v/>
      </c>
      <c r="K149" s="44">
        <f>'Reg Output - Commissioned'!G17/15</f>
        <v/>
      </c>
      <c r="L149" s="44">
        <f>'Reg Output - Commissioned'!G17/15</f>
        <v/>
      </c>
      <c r="M149" s="44">
        <f>'Reg Output - Commissioned'!G17/15</f>
        <v/>
      </c>
      <c r="N149" s="44">
        <f>'Reg Output - Commissioned'!G17/15</f>
        <v/>
      </c>
      <c r="O149" s="44">
        <f>'Reg Output - Commissioned'!G17/15</f>
        <v/>
      </c>
      <c r="P149" s="44">
        <f>'Reg Output - Commissioned'!G17/15</f>
        <v/>
      </c>
    </row>
    <row r="150">
      <c r="A150" s="17" t="inlineStr">
        <is>
          <t xml:space="preserve">    Vintage FY2025E</t>
        </is>
      </c>
      <c r="B150" s="26" t="n">
        <v>0</v>
      </c>
      <c r="C150" s="26" t="n">
        <v>0</v>
      </c>
      <c r="D150" s="26" t="n">
        <v>0</v>
      </c>
      <c r="E150" s="26" t="n">
        <v>0</v>
      </c>
      <c r="F150" s="26" t="n">
        <v>0</v>
      </c>
      <c r="G150" s="44" t="n">
        <v>0</v>
      </c>
      <c r="H150" s="44">
        <f>'Reg Output - Commissioned'!H17/15</f>
        <v/>
      </c>
      <c r="I150" s="44">
        <f>'Reg Output - Commissioned'!H17/15</f>
        <v/>
      </c>
      <c r="J150" s="44">
        <f>'Reg Output - Commissioned'!H17/15</f>
        <v/>
      </c>
      <c r="K150" s="44">
        <f>'Reg Output - Commissioned'!H17/15</f>
        <v/>
      </c>
      <c r="L150" s="44">
        <f>'Reg Output - Commissioned'!H17/15</f>
        <v/>
      </c>
      <c r="M150" s="44">
        <f>'Reg Output - Commissioned'!H17/15</f>
        <v/>
      </c>
      <c r="N150" s="44">
        <f>'Reg Output - Commissioned'!H17/15</f>
        <v/>
      </c>
      <c r="O150" s="44">
        <f>'Reg Output - Commissioned'!H17/15</f>
        <v/>
      </c>
      <c r="P150" s="44">
        <f>'Reg Output - Commissioned'!H17/15</f>
        <v/>
      </c>
    </row>
    <row r="151">
      <c r="A151" s="17" t="inlineStr">
        <is>
          <t xml:space="preserve">    Vintage FY2026E</t>
        </is>
      </c>
      <c r="B151" s="26" t="n">
        <v>0</v>
      </c>
      <c r="C151" s="26" t="n">
        <v>0</v>
      </c>
      <c r="D151" s="26" t="n">
        <v>0</v>
      </c>
      <c r="E151" s="26" t="n">
        <v>0</v>
      </c>
      <c r="F151" s="26" t="n">
        <v>0</v>
      </c>
      <c r="G151" s="44" t="n">
        <v>0</v>
      </c>
      <c r="H151" s="44" t="n">
        <v>0</v>
      </c>
      <c r="I151" s="44">
        <f>'Reg Output - Commissioned'!I17/15</f>
        <v/>
      </c>
      <c r="J151" s="44">
        <f>'Reg Output - Commissioned'!I17/15</f>
        <v/>
      </c>
      <c r="K151" s="44">
        <f>'Reg Output - Commissioned'!I17/15</f>
        <v/>
      </c>
      <c r="L151" s="44">
        <f>'Reg Output - Commissioned'!I17/15</f>
        <v/>
      </c>
      <c r="M151" s="44">
        <f>'Reg Output - Commissioned'!I17/15</f>
        <v/>
      </c>
      <c r="N151" s="44">
        <f>'Reg Output - Commissioned'!I17/15</f>
        <v/>
      </c>
      <c r="O151" s="44">
        <f>'Reg Output - Commissioned'!I17/15</f>
        <v/>
      </c>
      <c r="P151" s="44">
        <f>'Reg Output - Commissioned'!I17/15</f>
        <v/>
      </c>
    </row>
    <row r="152">
      <c r="A152" s="17" t="inlineStr">
        <is>
          <t xml:space="preserve">    Vintage FY2027E</t>
        </is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44" t="n">
        <v>0</v>
      </c>
      <c r="H152" s="44" t="n">
        <v>0</v>
      </c>
      <c r="I152" s="44" t="n">
        <v>0</v>
      </c>
      <c r="J152" s="44">
        <f>'Reg Output - Commissioned'!J17/15</f>
        <v/>
      </c>
      <c r="K152" s="44">
        <f>'Reg Output - Commissioned'!J17/15</f>
        <v/>
      </c>
      <c r="L152" s="44">
        <f>'Reg Output - Commissioned'!J17/15</f>
        <v/>
      </c>
      <c r="M152" s="44">
        <f>'Reg Output - Commissioned'!J17/15</f>
        <v/>
      </c>
      <c r="N152" s="44">
        <f>'Reg Output - Commissioned'!J17/15</f>
        <v/>
      </c>
      <c r="O152" s="44">
        <f>'Reg Output - Commissioned'!J17/15</f>
        <v/>
      </c>
      <c r="P152" s="44">
        <f>'Reg Output - Commissioned'!J17/15</f>
        <v/>
      </c>
    </row>
    <row r="153">
      <c r="A153" s="17" t="inlineStr">
        <is>
          <t xml:space="preserve">    Vintage FY2028E</t>
        </is>
      </c>
      <c r="B153" s="26" t="n">
        <v>0</v>
      </c>
      <c r="C153" s="26" t="n">
        <v>0</v>
      </c>
      <c r="D153" s="26" t="n">
        <v>0</v>
      </c>
      <c r="E153" s="26" t="n">
        <v>0</v>
      </c>
      <c r="F153" s="26" t="n">
        <v>0</v>
      </c>
      <c r="G153" s="44" t="n">
        <v>0</v>
      </c>
      <c r="H153" s="44" t="n">
        <v>0</v>
      </c>
      <c r="I153" s="44" t="n">
        <v>0</v>
      </c>
      <c r="J153" s="44" t="n">
        <v>0</v>
      </c>
      <c r="K153" s="44">
        <f>'Reg Output - Commissioned'!K17/15</f>
        <v/>
      </c>
      <c r="L153" s="44">
        <f>'Reg Output - Commissioned'!K17/15</f>
        <v/>
      </c>
      <c r="M153" s="44">
        <f>'Reg Output - Commissioned'!K17/15</f>
        <v/>
      </c>
      <c r="N153" s="44">
        <f>'Reg Output - Commissioned'!K17/15</f>
        <v/>
      </c>
      <c r="O153" s="44">
        <f>'Reg Output - Commissioned'!K17/15</f>
        <v/>
      </c>
      <c r="P153" s="44">
        <f>'Reg Output - Commissioned'!K17/15</f>
        <v/>
      </c>
    </row>
    <row r="154">
      <c r="A154" s="17" t="inlineStr">
        <is>
          <t xml:space="preserve">    Vintage FY2029E</t>
        </is>
      </c>
      <c r="B154" s="26" t="n">
        <v>0</v>
      </c>
      <c r="C154" s="26" t="n">
        <v>0</v>
      </c>
      <c r="D154" s="26" t="n">
        <v>0</v>
      </c>
      <c r="E154" s="26" t="n">
        <v>0</v>
      </c>
      <c r="F154" s="26" t="n">
        <v>0</v>
      </c>
      <c r="G154" s="44" t="n">
        <v>0</v>
      </c>
      <c r="H154" s="44" t="n">
        <v>0</v>
      </c>
      <c r="I154" s="44" t="n">
        <v>0</v>
      </c>
      <c r="J154" s="44" t="n">
        <v>0</v>
      </c>
      <c r="K154" s="44" t="n">
        <v>0</v>
      </c>
      <c r="L154" s="44">
        <f>'Reg Output - Commissioned'!L17/15</f>
        <v/>
      </c>
      <c r="M154" s="44">
        <f>'Reg Output - Commissioned'!L17/15</f>
        <v/>
      </c>
      <c r="N154" s="44">
        <f>'Reg Output - Commissioned'!L17/15</f>
        <v/>
      </c>
      <c r="O154" s="44">
        <f>'Reg Output - Commissioned'!L17/15</f>
        <v/>
      </c>
      <c r="P154" s="44">
        <f>'Reg Output - Commissioned'!L17/15</f>
        <v/>
      </c>
    </row>
    <row r="155">
      <c r="A155" s="17" t="inlineStr">
        <is>
          <t xml:space="preserve">    Vintage FY2030E</t>
        </is>
      </c>
      <c r="B155" s="26" t="n">
        <v>0</v>
      </c>
      <c r="C155" s="26" t="n">
        <v>0</v>
      </c>
      <c r="D155" s="26" t="n">
        <v>0</v>
      </c>
      <c r="E155" s="26" t="n">
        <v>0</v>
      </c>
      <c r="F155" s="26" t="n">
        <v>0</v>
      </c>
      <c r="G155" s="44" t="n">
        <v>0</v>
      </c>
      <c r="H155" s="44" t="n">
        <v>0</v>
      </c>
      <c r="I155" s="44" t="n">
        <v>0</v>
      </c>
      <c r="J155" s="44" t="n">
        <v>0</v>
      </c>
      <c r="K155" s="44" t="n">
        <v>0</v>
      </c>
      <c r="L155" s="44" t="n">
        <v>0</v>
      </c>
      <c r="M155" s="44">
        <f>'Reg Output - Commissioned'!M17/15</f>
        <v/>
      </c>
      <c r="N155" s="44">
        <f>'Reg Output - Commissioned'!M17/15</f>
        <v/>
      </c>
      <c r="O155" s="44">
        <f>'Reg Output - Commissioned'!M17/15</f>
        <v/>
      </c>
      <c r="P155" s="44">
        <f>'Reg Output - Commissioned'!M17/15</f>
        <v/>
      </c>
    </row>
    <row r="156">
      <c r="A156" s="17" t="inlineStr">
        <is>
          <t xml:space="preserve">    Vintage FY2031E</t>
        </is>
      </c>
      <c r="B156" s="26" t="n">
        <v>0</v>
      </c>
      <c r="C156" s="26" t="n">
        <v>0</v>
      </c>
      <c r="D156" s="26" t="n">
        <v>0</v>
      </c>
      <c r="E156" s="26" t="n">
        <v>0</v>
      </c>
      <c r="F156" s="26" t="n">
        <v>0</v>
      </c>
      <c r="G156" s="44" t="n">
        <v>0</v>
      </c>
      <c r="H156" s="44" t="n">
        <v>0</v>
      </c>
      <c r="I156" s="44" t="n">
        <v>0</v>
      </c>
      <c r="J156" s="44" t="n">
        <v>0</v>
      </c>
      <c r="K156" s="44" t="n">
        <v>0</v>
      </c>
      <c r="L156" s="44" t="n">
        <v>0</v>
      </c>
      <c r="M156" s="44" t="n">
        <v>0</v>
      </c>
      <c r="N156" s="44">
        <f>'Reg Output - Commissioned'!N17/15</f>
        <v/>
      </c>
      <c r="O156" s="44">
        <f>'Reg Output - Commissioned'!N17/15</f>
        <v/>
      </c>
      <c r="P156" s="44">
        <f>'Reg Output - Commissioned'!N17/15</f>
        <v/>
      </c>
    </row>
    <row r="157">
      <c r="A157" s="17" t="inlineStr">
        <is>
          <t xml:space="preserve">    Vintage FY2032E</t>
        </is>
      </c>
      <c r="B157" s="26" t="n">
        <v>0</v>
      </c>
      <c r="C157" s="26" t="n">
        <v>0</v>
      </c>
      <c r="D157" s="26" t="n">
        <v>0</v>
      </c>
      <c r="E157" s="26" t="n">
        <v>0</v>
      </c>
      <c r="F157" s="26" t="n">
        <v>0</v>
      </c>
      <c r="G157" s="44" t="n">
        <v>0</v>
      </c>
      <c r="H157" s="44" t="n">
        <v>0</v>
      </c>
      <c r="I157" s="44" t="n">
        <v>0</v>
      </c>
      <c r="J157" s="44" t="n">
        <v>0</v>
      </c>
      <c r="K157" s="44" t="n">
        <v>0</v>
      </c>
      <c r="L157" s="44" t="n">
        <v>0</v>
      </c>
      <c r="M157" s="44" t="n">
        <v>0</v>
      </c>
      <c r="N157" s="44" t="n">
        <v>0</v>
      </c>
      <c r="O157" s="44">
        <f>'Reg Output - Commissioned'!O17/15</f>
        <v/>
      </c>
      <c r="P157" s="44">
        <f>'Reg Output - Commissioned'!O17/15</f>
        <v/>
      </c>
    </row>
    <row r="158">
      <c r="A158" s="17" t="inlineStr">
        <is>
          <t xml:space="preserve">    Vintage FY2033E</t>
        </is>
      </c>
      <c r="B158" s="26" t="n">
        <v>0</v>
      </c>
      <c r="C158" s="26" t="n">
        <v>0</v>
      </c>
      <c r="D158" s="26" t="n">
        <v>0</v>
      </c>
      <c r="E158" s="26" t="n">
        <v>0</v>
      </c>
      <c r="F158" s="26" t="n">
        <v>0</v>
      </c>
      <c r="G158" s="44" t="n">
        <v>0</v>
      </c>
      <c r="H158" s="44" t="n">
        <v>0</v>
      </c>
      <c r="I158" s="44" t="n">
        <v>0</v>
      </c>
      <c r="J158" s="44" t="n">
        <v>0</v>
      </c>
      <c r="K158" s="44" t="n">
        <v>0</v>
      </c>
      <c r="L158" s="44" t="n">
        <v>0</v>
      </c>
      <c r="M158" s="44" t="n">
        <v>0</v>
      </c>
      <c r="N158" s="44" t="n">
        <v>0</v>
      </c>
      <c r="O158" s="44" t="n">
        <v>0</v>
      </c>
      <c r="P158" s="44">
        <f>'Reg Output - Commissioned'!P17/15</f>
        <v/>
      </c>
    </row>
    <row r="159">
      <c r="A159" s="17" t="inlineStr">
        <is>
          <t xml:space="preserve">    AC13 Total Depn</t>
        </is>
      </c>
      <c r="B159" s="43">
        <f>SUM(B149:B158)</f>
        <v/>
      </c>
      <c r="C159" s="43">
        <f>SUM(C149:C158)</f>
        <v/>
      </c>
      <c r="D159" s="43">
        <f>SUM(D149:D158)</f>
        <v/>
      </c>
      <c r="E159" s="43">
        <f>SUM(E149:E158)</f>
        <v/>
      </c>
      <c r="F159" s="43">
        <f>SUM(F149:F158)</f>
        <v/>
      </c>
      <c r="G159" s="43">
        <f>SUM(G149:G158)</f>
        <v/>
      </c>
      <c r="H159" s="43">
        <f>SUM(H149:H158)</f>
        <v/>
      </c>
      <c r="I159" s="43">
        <f>SUM(I149:I158)</f>
        <v/>
      </c>
      <c r="J159" s="43">
        <f>SUM(J149:J158)</f>
        <v/>
      </c>
      <c r="K159" s="43">
        <f>SUM(K149:K158)</f>
        <v/>
      </c>
      <c r="L159" s="43">
        <f>SUM(L149:L158)</f>
        <v/>
      </c>
      <c r="M159" s="43">
        <f>SUM(M149:M158)</f>
        <v/>
      </c>
      <c r="N159" s="43">
        <f>SUM(N149:N158)</f>
        <v/>
      </c>
      <c r="O159" s="43">
        <f>SUM(O149:O158)</f>
        <v/>
      </c>
      <c r="P159" s="43">
        <f>SUM(P149:P158)</f>
        <v/>
      </c>
    </row>
    <row r="160">
      <c r="A160" s="15" t="inlineStr">
        <is>
          <t>AC14  Renewable Connection Assets  |  Useful Life: 40yr</t>
        </is>
      </c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</row>
    <row r="161">
      <c r="A161" s="17" t="inlineStr">
        <is>
          <t xml:space="preserve">    Vintage FY2024E</t>
        </is>
      </c>
      <c r="B161" s="26" t="n">
        <v>0</v>
      </c>
      <c r="C161" s="26" t="n">
        <v>0</v>
      </c>
      <c r="D161" s="26" t="n">
        <v>0</v>
      </c>
      <c r="E161" s="26" t="n">
        <v>0</v>
      </c>
      <c r="F161" s="26" t="n">
        <v>0</v>
      </c>
      <c r="G161" s="44">
        <f>'Reg Output - Commissioned'!G18/40</f>
        <v/>
      </c>
      <c r="H161" s="44">
        <f>'Reg Output - Commissioned'!G18/40</f>
        <v/>
      </c>
      <c r="I161" s="44">
        <f>'Reg Output - Commissioned'!G18/40</f>
        <v/>
      </c>
      <c r="J161" s="44">
        <f>'Reg Output - Commissioned'!G18/40</f>
        <v/>
      </c>
      <c r="K161" s="44">
        <f>'Reg Output - Commissioned'!G18/40</f>
        <v/>
      </c>
      <c r="L161" s="44">
        <f>'Reg Output - Commissioned'!G18/40</f>
        <v/>
      </c>
      <c r="M161" s="44">
        <f>'Reg Output - Commissioned'!G18/40</f>
        <v/>
      </c>
      <c r="N161" s="44">
        <f>'Reg Output - Commissioned'!G18/40</f>
        <v/>
      </c>
      <c r="O161" s="44">
        <f>'Reg Output - Commissioned'!G18/40</f>
        <v/>
      </c>
      <c r="P161" s="44">
        <f>'Reg Output - Commissioned'!G18/40</f>
        <v/>
      </c>
    </row>
    <row r="162">
      <c r="A162" s="17" t="inlineStr">
        <is>
          <t xml:space="preserve">    Vintage FY2025E</t>
        </is>
      </c>
      <c r="B162" s="26" t="n">
        <v>0</v>
      </c>
      <c r="C162" s="26" t="n">
        <v>0</v>
      </c>
      <c r="D162" s="26" t="n">
        <v>0</v>
      </c>
      <c r="E162" s="26" t="n">
        <v>0</v>
      </c>
      <c r="F162" s="26" t="n">
        <v>0</v>
      </c>
      <c r="G162" s="44" t="n">
        <v>0</v>
      </c>
      <c r="H162" s="44">
        <f>'Reg Output - Commissioned'!H18/40</f>
        <v/>
      </c>
      <c r="I162" s="44">
        <f>'Reg Output - Commissioned'!H18/40</f>
        <v/>
      </c>
      <c r="J162" s="44">
        <f>'Reg Output - Commissioned'!H18/40</f>
        <v/>
      </c>
      <c r="K162" s="44">
        <f>'Reg Output - Commissioned'!H18/40</f>
        <v/>
      </c>
      <c r="L162" s="44">
        <f>'Reg Output - Commissioned'!H18/40</f>
        <v/>
      </c>
      <c r="M162" s="44">
        <f>'Reg Output - Commissioned'!H18/40</f>
        <v/>
      </c>
      <c r="N162" s="44">
        <f>'Reg Output - Commissioned'!H18/40</f>
        <v/>
      </c>
      <c r="O162" s="44">
        <f>'Reg Output - Commissioned'!H18/40</f>
        <v/>
      </c>
      <c r="P162" s="44">
        <f>'Reg Output - Commissioned'!H18/40</f>
        <v/>
      </c>
    </row>
    <row r="163">
      <c r="A163" s="17" t="inlineStr">
        <is>
          <t xml:space="preserve">    Vintage FY2026E</t>
        </is>
      </c>
      <c r="B163" s="26" t="n">
        <v>0</v>
      </c>
      <c r="C163" s="26" t="n">
        <v>0</v>
      </c>
      <c r="D163" s="26" t="n">
        <v>0</v>
      </c>
      <c r="E163" s="26" t="n">
        <v>0</v>
      </c>
      <c r="F163" s="26" t="n">
        <v>0</v>
      </c>
      <c r="G163" s="44" t="n">
        <v>0</v>
      </c>
      <c r="H163" s="44" t="n">
        <v>0</v>
      </c>
      <c r="I163" s="44">
        <f>'Reg Output - Commissioned'!I18/40</f>
        <v/>
      </c>
      <c r="J163" s="44">
        <f>'Reg Output - Commissioned'!I18/40</f>
        <v/>
      </c>
      <c r="K163" s="44">
        <f>'Reg Output - Commissioned'!I18/40</f>
        <v/>
      </c>
      <c r="L163" s="44">
        <f>'Reg Output - Commissioned'!I18/40</f>
        <v/>
      </c>
      <c r="M163" s="44">
        <f>'Reg Output - Commissioned'!I18/40</f>
        <v/>
      </c>
      <c r="N163" s="44">
        <f>'Reg Output - Commissioned'!I18/40</f>
        <v/>
      </c>
      <c r="O163" s="44">
        <f>'Reg Output - Commissioned'!I18/40</f>
        <v/>
      </c>
      <c r="P163" s="44">
        <f>'Reg Output - Commissioned'!I18/40</f>
        <v/>
      </c>
    </row>
    <row r="164">
      <c r="A164" s="17" t="inlineStr">
        <is>
          <t xml:space="preserve">    Vintage FY2027E</t>
        </is>
      </c>
      <c r="B164" s="26" t="n">
        <v>0</v>
      </c>
      <c r="C164" s="26" t="n">
        <v>0</v>
      </c>
      <c r="D164" s="26" t="n">
        <v>0</v>
      </c>
      <c r="E164" s="26" t="n">
        <v>0</v>
      </c>
      <c r="F164" s="26" t="n">
        <v>0</v>
      </c>
      <c r="G164" s="44" t="n">
        <v>0</v>
      </c>
      <c r="H164" s="44" t="n">
        <v>0</v>
      </c>
      <c r="I164" s="44" t="n">
        <v>0</v>
      </c>
      <c r="J164" s="44">
        <f>'Reg Output - Commissioned'!J18/40</f>
        <v/>
      </c>
      <c r="K164" s="44">
        <f>'Reg Output - Commissioned'!J18/40</f>
        <v/>
      </c>
      <c r="L164" s="44">
        <f>'Reg Output - Commissioned'!J18/40</f>
        <v/>
      </c>
      <c r="M164" s="44">
        <f>'Reg Output - Commissioned'!J18/40</f>
        <v/>
      </c>
      <c r="N164" s="44">
        <f>'Reg Output - Commissioned'!J18/40</f>
        <v/>
      </c>
      <c r="O164" s="44">
        <f>'Reg Output - Commissioned'!J18/40</f>
        <v/>
      </c>
      <c r="P164" s="44">
        <f>'Reg Output - Commissioned'!J18/40</f>
        <v/>
      </c>
    </row>
    <row r="165">
      <c r="A165" s="17" t="inlineStr">
        <is>
          <t xml:space="preserve">    Vintage FY2028E</t>
        </is>
      </c>
      <c r="B165" s="26" t="n">
        <v>0</v>
      </c>
      <c r="C165" s="26" t="n">
        <v>0</v>
      </c>
      <c r="D165" s="26" t="n">
        <v>0</v>
      </c>
      <c r="E165" s="26" t="n">
        <v>0</v>
      </c>
      <c r="F165" s="26" t="n">
        <v>0</v>
      </c>
      <c r="G165" s="44" t="n">
        <v>0</v>
      </c>
      <c r="H165" s="44" t="n">
        <v>0</v>
      </c>
      <c r="I165" s="44" t="n">
        <v>0</v>
      </c>
      <c r="J165" s="44" t="n">
        <v>0</v>
      </c>
      <c r="K165" s="44">
        <f>'Reg Output - Commissioned'!K18/40</f>
        <v/>
      </c>
      <c r="L165" s="44">
        <f>'Reg Output - Commissioned'!K18/40</f>
        <v/>
      </c>
      <c r="M165" s="44">
        <f>'Reg Output - Commissioned'!K18/40</f>
        <v/>
      </c>
      <c r="N165" s="44">
        <f>'Reg Output - Commissioned'!K18/40</f>
        <v/>
      </c>
      <c r="O165" s="44">
        <f>'Reg Output - Commissioned'!K18/40</f>
        <v/>
      </c>
      <c r="P165" s="44">
        <f>'Reg Output - Commissioned'!K18/40</f>
        <v/>
      </c>
    </row>
    <row r="166">
      <c r="A166" s="17" t="inlineStr">
        <is>
          <t xml:space="preserve">    Vintage FY2029E</t>
        </is>
      </c>
      <c r="B166" s="26" t="n">
        <v>0</v>
      </c>
      <c r="C166" s="26" t="n">
        <v>0</v>
      </c>
      <c r="D166" s="26" t="n">
        <v>0</v>
      </c>
      <c r="E166" s="26" t="n">
        <v>0</v>
      </c>
      <c r="F166" s="26" t="n">
        <v>0</v>
      </c>
      <c r="G166" s="44" t="n">
        <v>0</v>
      </c>
      <c r="H166" s="44" t="n">
        <v>0</v>
      </c>
      <c r="I166" s="44" t="n">
        <v>0</v>
      </c>
      <c r="J166" s="44" t="n">
        <v>0</v>
      </c>
      <c r="K166" s="44" t="n">
        <v>0</v>
      </c>
      <c r="L166" s="44">
        <f>'Reg Output - Commissioned'!L18/40</f>
        <v/>
      </c>
      <c r="M166" s="44">
        <f>'Reg Output - Commissioned'!L18/40</f>
        <v/>
      </c>
      <c r="N166" s="44">
        <f>'Reg Output - Commissioned'!L18/40</f>
        <v/>
      </c>
      <c r="O166" s="44">
        <f>'Reg Output - Commissioned'!L18/40</f>
        <v/>
      </c>
      <c r="P166" s="44">
        <f>'Reg Output - Commissioned'!L18/40</f>
        <v/>
      </c>
    </row>
    <row r="167">
      <c r="A167" s="17" t="inlineStr">
        <is>
          <t xml:space="preserve">    Vintage FY2030E</t>
        </is>
      </c>
      <c r="B167" s="26" t="n">
        <v>0</v>
      </c>
      <c r="C167" s="26" t="n">
        <v>0</v>
      </c>
      <c r="D167" s="26" t="n">
        <v>0</v>
      </c>
      <c r="E167" s="26" t="n">
        <v>0</v>
      </c>
      <c r="F167" s="26" t="n">
        <v>0</v>
      </c>
      <c r="G167" s="44" t="n">
        <v>0</v>
      </c>
      <c r="H167" s="44" t="n">
        <v>0</v>
      </c>
      <c r="I167" s="44" t="n">
        <v>0</v>
      </c>
      <c r="J167" s="44" t="n">
        <v>0</v>
      </c>
      <c r="K167" s="44" t="n">
        <v>0</v>
      </c>
      <c r="L167" s="44" t="n">
        <v>0</v>
      </c>
      <c r="M167" s="44">
        <f>'Reg Output - Commissioned'!M18/40</f>
        <v/>
      </c>
      <c r="N167" s="44">
        <f>'Reg Output - Commissioned'!M18/40</f>
        <v/>
      </c>
      <c r="O167" s="44">
        <f>'Reg Output - Commissioned'!M18/40</f>
        <v/>
      </c>
      <c r="P167" s="44">
        <f>'Reg Output - Commissioned'!M18/40</f>
        <v/>
      </c>
    </row>
    <row r="168">
      <c r="A168" s="17" t="inlineStr">
        <is>
          <t xml:space="preserve">    Vintage FY2031E</t>
        </is>
      </c>
      <c r="B168" s="26" t="n">
        <v>0</v>
      </c>
      <c r="C168" s="26" t="n">
        <v>0</v>
      </c>
      <c r="D168" s="26" t="n">
        <v>0</v>
      </c>
      <c r="E168" s="26" t="n">
        <v>0</v>
      </c>
      <c r="F168" s="26" t="n">
        <v>0</v>
      </c>
      <c r="G168" s="44" t="n">
        <v>0</v>
      </c>
      <c r="H168" s="44" t="n">
        <v>0</v>
      </c>
      <c r="I168" s="44" t="n">
        <v>0</v>
      </c>
      <c r="J168" s="44" t="n">
        <v>0</v>
      </c>
      <c r="K168" s="44" t="n">
        <v>0</v>
      </c>
      <c r="L168" s="44" t="n">
        <v>0</v>
      </c>
      <c r="M168" s="44" t="n">
        <v>0</v>
      </c>
      <c r="N168" s="44">
        <f>'Reg Output - Commissioned'!N18/40</f>
        <v/>
      </c>
      <c r="O168" s="44">
        <f>'Reg Output - Commissioned'!N18/40</f>
        <v/>
      </c>
      <c r="P168" s="44">
        <f>'Reg Output - Commissioned'!N18/40</f>
        <v/>
      </c>
    </row>
    <row r="169">
      <c r="A169" s="17" t="inlineStr">
        <is>
          <t xml:space="preserve">    Vintage FY2032E</t>
        </is>
      </c>
      <c r="B169" s="26" t="n">
        <v>0</v>
      </c>
      <c r="C169" s="26" t="n">
        <v>0</v>
      </c>
      <c r="D169" s="26" t="n">
        <v>0</v>
      </c>
      <c r="E169" s="26" t="n">
        <v>0</v>
      </c>
      <c r="F169" s="26" t="n">
        <v>0</v>
      </c>
      <c r="G169" s="44" t="n">
        <v>0</v>
      </c>
      <c r="H169" s="44" t="n">
        <v>0</v>
      </c>
      <c r="I169" s="44" t="n">
        <v>0</v>
      </c>
      <c r="J169" s="44" t="n">
        <v>0</v>
      </c>
      <c r="K169" s="44" t="n">
        <v>0</v>
      </c>
      <c r="L169" s="44" t="n">
        <v>0</v>
      </c>
      <c r="M169" s="44" t="n">
        <v>0</v>
      </c>
      <c r="N169" s="44" t="n">
        <v>0</v>
      </c>
      <c r="O169" s="44">
        <f>'Reg Output - Commissioned'!O18/40</f>
        <v/>
      </c>
      <c r="P169" s="44">
        <f>'Reg Output - Commissioned'!O18/40</f>
        <v/>
      </c>
    </row>
    <row r="170">
      <c r="A170" s="17" t="inlineStr">
        <is>
          <t xml:space="preserve">    Vintage FY2033E</t>
        </is>
      </c>
      <c r="B170" s="26" t="n">
        <v>0</v>
      </c>
      <c r="C170" s="26" t="n">
        <v>0</v>
      </c>
      <c r="D170" s="26" t="n">
        <v>0</v>
      </c>
      <c r="E170" s="26" t="n">
        <v>0</v>
      </c>
      <c r="F170" s="26" t="n">
        <v>0</v>
      </c>
      <c r="G170" s="44" t="n">
        <v>0</v>
      </c>
      <c r="H170" s="44" t="n">
        <v>0</v>
      </c>
      <c r="I170" s="44" t="n">
        <v>0</v>
      </c>
      <c r="J170" s="44" t="n">
        <v>0</v>
      </c>
      <c r="K170" s="44" t="n">
        <v>0</v>
      </c>
      <c r="L170" s="44" t="n">
        <v>0</v>
      </c>
      <c r="M170" s="44" t="n">
        <v>0</v>
      </c>
      <c r="N170" s="44" t="n">
        <v>0</v>
      </c>
      <c r="O170" s="44" t="n">
        <v>0</v>
      </c>
      <c r="P170" s="44">
        <f>'Reg Output - Commissioned'!P18/40</f>
        <v/>
      </c>
    </row>
    <row r="171">
      <c r="A171" s="17" t="inlineStr">
        <is>
          <t xml:space="preserve">    AC14 Total Depn</t>
        </is>
      </c>
      <c r="B171" s="43">
        <f>SUM(B161:B170)</f>
        <v/>
      </c>
      <c r="C171" s="43">
        <f>SUM(C161:C170)</f>
        <v/>
      </c>
      <c r="D171" s="43">
        <f>SUM(D161:D170)</f>
        <v/>
      </c>
      <c r="E171" s="43">
        <f>SUM(E161:E170)</f>
        <v/>
      </c>
      <c r="F171" s="43">
        <f>SUM(F161:F170)</f>
        <v/>
      </c>
      <c r="G171" s="43">
        <f>SUM(G161:G170)</f>
        <v/>
      </c>
      <c r="H171" s="43">
        <f>SUM(H161:H170)</f>
        <v/>
      </c>
      <c r="I171" s="43">
        <f>SUM(I161:I170)</f>
        <v/>
      </c>
      <c r="J171" s="43">
        <f>SUM(J161:J170)</f>
        <v/>
      </c>
      <c r="K171" s="43">
        <f>SUM(K161:K170)</f>
        <v/>
      </c>
      <c r="L171" s="43">
        <f>SUM(L161:L170)</f>
        <v/>
      </c>
      <c r="M171" s="43">
        <f>SUM(M161:M170)</f>
        <v/>
      </c>
      <c r="N171" s="43">
        <f>SUM(N161:N170)</f>
        <v/>
      </c>
      <c r="O171" s="43">
        <f>SUM(O161:O170)</f>
        <v/>
      </c>
      <c r="P171" s="43">
        <f>SUM(P161:P170)</f>
        <v/>
      </c>
    </row>
    <row r="172">
      <c r="A172" s="15" t="inlineStr">
        <is>
          <t>AC15  Mobile Plant  |  Useful Life: 10yr</t>
        </is>
      </c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</row>
    <row r="173">
      <c r="A173" s="17" t="inlineStr">
        <is>
          <t xml:space="preserve">    Vintage FY2024E</t>
        </is>
      </c>
      <c r="B173" s="26" t="n">
        <v>0</v>
      </c>
      <c r="C173" s="26" t="n">
        <v>0</v>
      </c>
      <c r="D173" s="26" t="n">
        <v>0</v>
      </c>
      <c r="E173" s="26" t="n">
        <v>0</v>
      </c>
      <c r="F173" s="26" t="n">
        <v>0</v>
      </c>
      <c r="G173" s="44">
        <f>'Reg Output - Commissioned'!G19/10</f>
        <v/>
      </c>
      <c r="H173" s="44">
        <f>'Reg Output - Commissioned'!G19/10</f>
        <v/>
      </c>
      <c r="I173" s="44">
        <f>'Reg Output - Commissioned'!G19/10</f>
        <v/>
      </c>
      <c r="J173" s="44">
        <f>'Reg Output - Commissioned'!G19/10</f>
        <v/>
      </c>
      <c r="K173" s="44">
        <f>'Reg Output - Commissioned'!G19/10</f>
        <v/>
      </c>
      <c r="L173" s="44">
        <f>'Reg Output - Commissioned'!G19/10</f>
        <v/>
      </c>
      <c r="M173" s="44">
        <f>'Reg Output - Commissioned'!G19/10</f>
        <v/>
      </c>
      <c r="N173" s="44">
        <f>'Reg Output - Commissioned'!G19/10</f>
        <v/>
      </c>
      <c r="O173" s="44">
        <f>'Reg Output - Commissioned'!G19/10</f>
        <v/>
      </c>
      <c r="P173" s="44">
        <f>'Reg Output - Commissioned'!G19/10</f>
        <v/>
      </c>
    </row>
    <row r="174">
      <c r="A174" s="17" t="inlineStr">
        <is>
          <t xml:space="preserve">    Vintage FY2025E</t>
        </is>
      </c>
      <c r="B174" s="26" t="n">
        <v>0</v>
      </c>
      <c r="C174" s="26" t="n">
        <v>0</v>
      </c>
      <c r="D174" s="26" t="n">
        <v>0</v>
      </c>
      <c r="E174" s="26" t="n">
        <v>0</v>
      </c>
      <c r="F174" s="26" t="n">
        <v>0</v>
      </c>
      <c r="G174" s="44" t="n">
        <v>0</v>
      </c>
      <c r="H174" s="44">
        <f>'Reg Output - Commissioned'!H19/10</f>
        <v/>
      </c>
      <c r="I174" s="44">
        <f>'Reg Output - Commissioned'!H19/10</f>
        <v/>
      </c>
      <c r="J174" s="44">
        <f>'Reg Output - Commissioned'!H19/10</f>
        <v/>
      </c>
      <c r="K174" s="44">
        <f>'Reg Output - Commissioned'!H19/10</f>
        <v/>
      </c>
      <c r="L174" s="44">
        <f>'Reg Output - Commissioned'!H19/10</f>
        <v/>
      </c>
      <c r="M174" s="44">
        <f>'Reg Output - Commissioned'!H19/10</f>
        <v/>
      </c>
      <c r="N174" s="44">
        <f>'Reg Output - Commissioned'!H19/10</f>
        <v/>
      </c>
      <c r="O174" s="44">
        <f>'Reg Output - Commissioned'!H19/10</f>
        <v/>
      </c>
      <c r="P174" s="44">
        <f>'Reg Output - Commissioned'!H19/10</f>
        <v/>
      </c>
    </row>
    <row r="175">
      <c r="A175" s="17" t="inlineStr">
        <is>
          <t xml:space="preserve">    Vintage FY2026E</t>
        </is>
      </c>
      <c r="B175" s="26" t="n">
        <v>0</v>
      </c>
      <c r="C175" s="26" t="n">
        <v>0</v>
      </c>
      <c r="D175" s="26" t="n">
        <v>0</v>
      </c>
      <c r="E175" s="26" t="n">
        <v>0</v>
      </c>
      <c r="F175" s="26" t="n">
        <v>0</v>
      </c>
      <c r="G175" s="44" t="n">
        <v>0</v>
      </c>
      <c r="H175" s="44" t="n">
        <v>0</v>
      </c>
      <c r="I175" s="44">
        <f>'Reg Output - Commissioned'!I19/10</f>
        <v/>
      </c>
      <c r="J175" s="44">
        <f>'Reg Output - Commissioned'!I19/10</f>
        <v/>
      </c>
      <c r="K175" s="44">
        <f>'Reg Output - Commissioned'!I19/10</f>
        <v/>
      </c>
      <c r="L175" s="44">
        <f>'Reg Output - Commissioned'!I19/10</f>
        <v/>
      </c>
      <c r="M175" s="44">
        <f>'Reg Output - Commissioned'!I19/10</f>
        <v/>
      </c>
      <c r="N175" s="44">
        <f>'Reg Output - Commissioned'!I19/10</f>
        <v/>
      </c>
      <c r="O175" s="44">
        <f>'Reg Output - Commissioned'!I19/10</f>
        <v/>
      </c>
      <c r="P175" s="44">
        <f>'Reg Output - Commissioned'!I19/10</f>
        <v/>
      </c>
    </row>
    <row r="176">
      <c r="A176" s="17" t="inlineStr">
        <is>
          <t xml:space="preserve">    Vintage FY2027E</t>
        </is>
      </c>
      <c r="B176" s="26" t="n">
        <v>0</v>
      </c>
      <c r="C176" s="26" t="n">
        <v>0</v>
      </c>
      <c r="D176" s="26" t="n">
        <v>0</v>
      </c>
      <c r="E176" s="26" t="n">
        <v>0</v>
      </c>
      <c r="F176" s="26" t="n">
        <v>0</v>
      </c>
      <c r="G176" s="44" t="n">
        <v>0</v>
      </c>
      <c r="H176" s="44" t="n">
        <v>0</v>
      </c>
      <c r="I176" s="44" t="n">
        <v>0</v>
      </c>
      <c r="J176" s="44">
        <f>'Reg Output - Commissioned'!J19/10</f>
        <v/>
      </c>
      <c r="K176" s="44">
        <f>'Reg Output - Commissioned'!J19/10</f>
        <v/>
      </c>
      <c r="L176" s="44">
        <f>'Reg Output - Commissioned'!J19/10</f>
        <v/>
      </c>
      <c r="M176" s="44">
        <f>'Reg Output - Commissioned'!J19/10</f>
        <v/>
      </c>
      <c r="N176" s="44">
        <f>'Reg Output - Commissioned'!J19/10</f>
        <v/>
      </c>
      <c r="O176" s="44">
        <f>'Reg Output - Commissioned'!J19/10</f>
        <v/>
      </c>
      <c r="P176" s="44">
        <f>'Reg Output - Commissioned'!J19/10</f>
        <v/>
      </c>
    </row>
    <row r="177">
      <c r="A177" s="17" t="inlineStr">
        <is>
          <t xml:space="preserve">    Vintage FY2028E</t>
        </is>
      </c>
      <c r="B177" s="26" t="n">
        <v>0</v>
      </c>
      <c r="C177" s="26" t="n">
        <v>0</v>
      </c>
      <c r="D177" s="26" t="n">
        <v>0</v>
      </c>
      <c r="E177" s="26" t="n">
        <v>0</v>
      </c>
      <c r="F177" s="26" t="n">
        <v>0</v>
      </c>
      <c r="G177" s="44" t="n">
        <v>0</v>
      </c>
      <c r="H177" s="44" t="n">
        <v>0</v>
      </c>
      <c r="I177" s="44" t="n">
        <v>0</v>
      </c>
      <c r="J177" s="44" t="n">
        <v>0</v>
      </c>
      <c r="K177" s="44">
        <f>'Reg Output - Commissioned'!K19/10</f>
        <v/>
      </c>
      <c r="L177" s="44">
        <f>'Reg Output - Commissioned'!K19/10</f>
        <v/>
      </c>
      <c r="M177" s="44">
        <f>'Reg Output - Commissioned'!K19/10</f>
        <v/>
      </c>
      <c r="N177" s="44">
        <f>'Reg Output - Commissioned'!K19/10</f>
        <v/>
      </c>
      <c r="O177" s="44">
        <f>'Reg Output - Commissioned'!K19/10</f>
        <v/>
      </c>
      <c r="P177" s="44">
        <f>'Reg Output - Commissioned'!K19/10</f>
        <v/>
      </c>
    </row>
    <row r="178">
      <c r="A178" s="17" t="inlineStr">
        <is>
          <t xml:space="preserve">    Vintage FY2029E</t>
        </is>
      </c>
      <c r="B178" s="26" t="n">
        <v>0</v>
      </c>
      <c r="C178" s="26" t="n">
        <v>0</v>
      </c>
      <c r="D178" s="26" t="n">
        <v>0</v>
      </c>
      <c r="E178" s="26" t="n">
        <v>0</v>
      </c>
      <c r="F178" s="26" t="n">
        <v>0</v>
      </c>
      <c r="G178" s="44" t="n">
        <v>0</v>
      </c>
      <c r="H178" s="44" t="n">
        <v>0</v>
      </c>
      <c r="I178" s="44" t="n">
        <v>0</v>
      </c>
      <c r="J178" s="44" t="n">
        <v>0</v>
      </c>
      <c r="K178" s="44" t="n">
        <v>0</v>
      </c>
      <c r="L178" s="44">
        <f>'Reg Output - Commissioned'!L19/10</f>
        <v/>
      </c>
      <c r="M178" s="44">
        <f>'Reg Output - Commissioned'!L19/10</f>
        <v/>
      </c>
      <c r="N178" s="44">
        <f>'Reg Output - Commissioned'!L19/10</f>
        <v/>
      </c>
      <c r="O178" s="44">
        <f>'Reg Output - Commissioned'!L19/10</f>
        <v/>
      </c>
      <c r="P178" s="44">
        <f>'Reg Output - Commissioned'!L19/10</f>
        <v/>
      </c>
    </row>
    <row r="179">
      <c r="A179" s="17" t="inlineStr">
        <is>
          <t xml:space="preserve">    Vintage FY2030E</t>
        </is>
      </c>
      <c r="B179" s="26" t="n">
        <v>0</v>
      </c>
      <c r="C179" s="26" t="n">
        <v>0</v>
      </c>
      <c r="D179" s="26" t="n">
        <v>0</v>
      </c>
      <c r="E179" s="26" t="n">
        <v>0</v>
      </c>
      <c r="F179" s="26" t="n">
        <v>0</v>
      </c>
      <c r="G179" s="44" t="n">
        <v>0</v>
      </c>
      <c r="H179" s="44" t="n">
        <v>0</v>
      </c>
      <c r="I179" s="44" t="n">
        <v>0</v>
      </c>
      <c r="J179" s="44" t="n">
        <v>0</v>
      </c>
      <c r="K179" s="44" t="n">
        <v>0</v>
      </c>
      <c r="L179" s="44" t="n">
        <v>0</v>
      </c>
      <c r="M179" s="44">
        <f>'Reg Output - Commissioned'!M19/10</f>
        <v/>
      </c>
      <c r="N179" s="44">
        <f>'Reg Output - Commissioned'!M19/10</f>
        <v/>
      </c>
      <c r="O179" s="44">
        <f>'Reg Output - Commissioned'!M19/10</f>
        <v/>
      </c>
      <c r="P179" s="44">
        <f>'Reg Output - Commissioned'!M19/10</f>
        <v/>
      </c>
    </row>
    <row r="180">
      <c r="A180" s="17" t="inlineStr">
        <is>
          <t xml:space="preserve">    Vintage FY2031E</t>
        </is>
      </c>
      <c r="B180" s="26" t="n">
        <v>0</v>
      </c>
      <c r="C180" s="26" t="n">
        <v>0</v>
      </c>
      <c r="D180" s="26" t="n">
        <v>0</v>
      </c>
      <c r="E180" s="26" t="n">
        <v>0</v>
      </c>
      <c r="F180" s="26" t="n">
        <v>0</v>
      </c>
      <c r="G180" s="44" t="n">
        <v>0</v>
      </c>
      <c r="H180" s="44" t="n">
        <v>0</v>
      </c>
      <c r="I180" s="44" t="n">
        <v>0</v>
      </c>
      <c r="J180" s="44" t="n">
        <v>0</v>
      </c>
      <c r="K180" s="44" t="n">
        <v>0</v>
      </c>
      <c r="L180" s="44" t="n">
        <v>0</v>
      </c>
      <c r="M180" s="44" t="n">
        <v>0</v>
      </c>
      <c r="N180" s="44">
        <f>'Reg Output - Commissioned'!N19/10</f>
        <v/>
      </c>
      <c r="O180" s="44">
        <f>'Reg Output - Commissioned'!N19/10</f>
        <v/>
      </c>
      <c r="P180" s="44">
        <f>'Reg Output - Commissioned'!N19/10</f>
        <v/>
      </c>
    </row>
    <row r="181">
      <c r="A181" s="17" t="inlineStr">
        <is>
          <t xml:space="preserve">    Vintage FY2032E</t>
        </is>
      </c>
      <c r="B181" s="26" t="n">
        <v>0</v>
      </c>
      <c r="C181" s="26" t="n">
        <v>0</v>
      </c>
      <c r="D181" s="26" t="n">
        <v>0</v>
      </c>
      <c r="E181" s="26" t="n">
        <v>0</v>
      </c>
      <c r="F181" s="26" t="n">
        <v>0</v>
      </c>
      <c r="G181" s="44" t="n">
        <v>0</v>
      </c>
      <c r="H181" s="44" t="n">
        <v>0</v>
      </c>
      <c r="I181" s="44" t="n">
        <v>0</v>
      </c>
      <c r="J181" s="44" t="n">
        <v>0</v>
      </c>
      <c r="K181" s="44" t="n">
        <v>0</v>
      </c>
      <c r="L181" s="44" t="n">
        <v>0</v>
      </c>
      <c r="M181" s="44" t="n">
        <v>0</v>
      </c>
      <c r="N181" s="44" t="n">
        <v>0</v>
      </c>
      <c r="O181" s="44">
        <f>'Reg Output - Commissioned'!O19/10</f>
        <v/>
      </c>
      <c r="P181" s="44">
        <f>'Reg Output - Commissioned'!O19/10</f>
        <v/>
      </c>
    </row>
    <row r="182">
      <c r="A182" s="17" t="inlineStr">
        <is>
          <t xml:space="preserve">    Vintage FY2033E</t>
        </is>
      </c>
      <c r="B182" s="26" t="n">
        <v>0</v>
      </c>
      <c r="C182" s="26" t="n">
        <v>0</v>
      </c>
      <c r="D182" s="26" t="n">
        <v>0</v>
      </c>
      <c r="E182" s="26" t="n">
        <v>0</v>
      </c>
      <c r="F182" s="26" t="n">
        <v>0</v>
      </c>
      <c r="G182" s="44" t="n">
        <v>0</v>
      </c>
      <c r="H182" s="44" t="n">
        <v>0</v>
      </c>
      <c r="I182" s="44" t="n">
        <v>0</v>
      </c>
      <c r="J182" s="44" t="n">
        <v>0</v>
      </c>
      <c r="K182" s="44" t="n">
        <v>0</v>
      </c>
      <c r="L182" s="44" t="n">
        <v>0</v>
      </c>
      <c r="M182" s="44" t="n">
        <v>0</v>
      </c>
      <c r="N182" s="44" t="n">
        <v>0</v>
      </c>
      <c r="O182" s="44" t="n">
        <v>0</v>
      </c>
      <c r="P182" s="44">
        <f>'Reg Output - Commissioned'!P19/10</f>
        <v/>
      </c>
    </row>
    <row r="183">
      <c r="A183" s="17" t="inlineStr">
        <is>
          <t xml:space="preserve">    AC15 Total Depn</t>
        </is>
      </c>
      <c r="B183" s="43">
        <f>SUM(B173:B182)</f>
        <v/>
      </c>
      <c r="C183" s="43">
        <f>SUM(C173:C182)</f>
        <v/>
      </c>
      <c r="D183" s="43">
        <f>SUM(D173:D182)</f>
        <v/>
      </c>
      <c r="E183" s="43">
        <f>SUM(E173:E182)</f>
        <v/>
      </c>
      <c r="F183" s="43">
        <f>SUM(F173:F182)</f>
        <v/>
      </c>
      <c r="G183" s="43">
        <f>SUM(G173:G182)</f>
        <v/>
      </c>
      <c r="H183" s="43">
        <f>SUM(H173:H182)</f>
        <v/>
      </c>
      <c r="I183" s="43">
        <f>SUM(I173:I182)</f>
        <v/>
      </c>
      <c r="J183" s="43">
        <f>SUM(J173:J182)</f>
        <v/>
      </c>
      <c r="K183" s="43">
        <f>SUM(K173:K182)</f>
        <v/>
      </c>
      <c r="L183" s="43">
        <f>SUM(L173:L182)</f>
        <v/>
      </c>
      <c r="M183" s="43">
        <f>SUM(M173:M182)</f>
        <v/>
      </c>
      <c r="N183" s="43">
        <f>SUM(N173:N182)</f>
        <v/>
      </c>
      <c r="O183" s="43">
        <f>SUM(O173:O182)</f>
        <v/>
      </c>
      <c r="P183" s="43">
        <f>SUM(P173:P182)</f>
        <v/>
      </c>
    </row>
    <row r="184">
      <c r="A184" s="15" t="inlineStr">
        <is>
          <t>AC16  Placeholder AC16  |  Useful Life: 30yr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>
      <c r="A185" s="17" t="inlineStr">
        <is>
          <t xml:space="preserve">    Vintage FY2024E</t>
        </is>
      </c>
      <c r="B185" s="26" t="n">
        <v>0</v>
      </c>
      <c r="C185" s="26" t="n">
        <v>0</v>
      </c>
      <c r="D185" s="26" t="n">
        <v>0</v>
      </c>
      <c r="E185" s="26" t="n">
        <v>0</v>
      </c>
      <c r="F185" s="26" t="n">
        <v>0</v>
      </c>
      <c r="G185" s="44">
        <f>'Reg Output - Commissioned'!G20/30</f>
        <v/>
      </c>
      <c r="H185" s="44">
        <f>'Reg Output - Commissioned'!G20/30</f>
        <v/>
      </c>
      <c r="I185" s="44">
        <f>'Reg Output - Commissioned'!G20/30</f>
        <v/>
      </c>
      <c r="J185" s="44">
        <f>'Reg Output - Commissioned'!G20/30</f>
        <v/>
      </c>
      <c r="K185" s="44">
        <f>'Reg Output - Commissioned'!G20/30</f>
        <v/>
      </c>
      <c r="L185" s="44">
        <f>'Reg Output - Commissioned'!G20/30</f>
        <v/>
      </c>
      <c r="M185" s="44">
        <f>'Reg Output - Commissioned'!G20/30</f>
        <v/>
      </c>
      <c r="N185" s="44">
        <f>'Reg Output - Commissioned'!G20/30</f>
        <v/>
      </c>
      <c r="O185" s="44">
        <f>'Reg Output - Commissioned'!G20/30</f>
        <v/>
      </c>
      <c r="P185" s="44">
        <f>'Reg Output - Commissioned'!G20/30</f>
        <v/>
      </c>
    </row>
    <row r="186">
      <c r="A186" s="17" t="inlineStr">
        <is>
          <t xml:space="preserve">    Vintage FY2025E</t>
        </is>
      </c>
      <c r="B186" s="26" t="n">
        <v>0</v>
      </c>
      <c r="C186" s="26" t="n">
        <v>0</v>
      </c>
      <c r="D186" s="26" t="n">
        <v>0</v>
      </c>
      <c r="E186" s="26" t="n">
        <v>0</v>
      </c>
      <c r="F186" s="26" t="n">
        <v>0</v>
      </c>
      <c r="G186" s="44" t="n">
        <v>0</v>
      </c>
      <c r="H186" s="44">
        <f>'Reg Output - Commissioned'!H20/30</f>
        <v/>
      </c>
      <c r="I186" s="44">
        <f>'Reg Output - Commissioned'!H20/30</f>
        <v/>
      </c>
      <c r="J186" s="44">
        <f>'Reg Output - Commissioned'!H20/30</f>
        <v/>
      </c>
      <c r="K186" s="44">
        <f>'Reg Output - Commissioned'!H20/30</f>
        <v/>
      </c>
      <c r="L186" s="44">
        <f>'Reg Output - Commissioned'!H20/30</f>
        <v/>
      </c>
      <c r="M186" s="44">
        <f>'Reg Output - Commissioned'!H20/30</f>
        <v/>
      </c>
      <c r="N186" s="44">
        <f>'Reg Output - Commissioned'!H20/30</f>
        <v/>
      </c>
      <c r="O186" s="44">
        <f>'Reg Output - Commissioned'!H20/30</f>
        <v/>
      </c>
      <c r="P186" s="44">
        <f>'Reg Output - Commissioned'!H20/30</f>
        <v/>
      </c>
    </row>
    <row r="187">
      <c r="A187" s="17" t="inlineStr">
        <is>
          <t xml:space="preserve">    Vintage FY2026E</t>
        </is>
      </c>
      <c r="B187" s="26" t="n">
        <v>0</v>
      </c>
      <c r="C187" s="26" t="n">
        <v>0</v>
      </c>
      <c r="D187" s="26" t="n">
        <v>0</v>
      </c>
      <c r="E187" s="26" t="n">
        <v>0</v>
      </c>
      <c r="F187" s="26" t="n">
        <v>0</v>
      </c>
      <c r="G187" s="44" t="n">
        <v>0</v>
      </c>
      <c r="H187" s="44" t="n">
        <v>0</v>
      </c>
      <c r="I187" s="44">
        <f>'Reg Output - Commissioned'!I20/30</f>
        <v/>
      </c>
      <c r="J187" s="44">
        <f>'Reg Output - Commissioned'!I20/30</f>
        <v/>
      </c>
      <c r="K187" s="44">
        <f>'Reg Output - Commissioned'!I20/30</f>
        <v/>
      </c>
      <c r="L187" s="44">
        <f>'Reg Output - Commissioned'!I20/30</f>
        <v/>
      </c>
      <c r="M187" s="44">
        <f>'Reg Output - Commissioned'!I20/30</f>
        <v/>
      </c>
      <c r="N187" s="44">
        <f>'Reg Output - Commissioned'!I20/30</f>
        <v/>
      </c>
      <c r="O187" s="44">
        <f>'Reg Output - Commissioned'!I20/30</f>
        <v/>
      </c>
      <c r="P187" s="44">
        <f>'Reg Output - Commissioned'!I20/30</f>
        <v/>
      </c>
    </row>
    <row r="188">
      <c r="A188" s="17" t="inlineStr">
        <is>
          <t xml:space="preserve">    Vintage FY2027E</t>
        </is>
      </c>
      <c r="B188" s="26" t="n">
        <v>0</v>
      </c>
      <c r="C188" s="26" t="n">
        <v>0</v>
      </c>
      <c r="D188" s="26" t="n">
        <v>0</v>
      </c>
      <c r="E188" s="26" t="n">
        <v>0</v>
      </c>
      <c r="F188" s="26" t="n">
        <v>0</v>
      </c>
      <c r="G188" s="44" t="n">
        <v>0</v>
      </c>
      <c r="H188" s="44" t="n">
        <v>0</v>
      </c>
      <c r="I188" s="44" t="n">
        <v>0</v>
      </c>
      <c r="J188" s="44">
        <f>'Reg Output - Commissioned'!J20/30</f>
        <v/>
      </c>
      <c r="K188" s="44">
        <f>'Reg Output - Commissioned'!J20/30</f>
        <v/>
      </c>
      <c r="L188" s="44">
        <f>'Reg Output - Commissioned'!J20/30</f>
        <v/>
      </c>
      <c r="M188" s="44">
        <f>'Reg Output - Commissioned'!J20/30</f>
        <v/>
      </c>
      <c r="N188" s="44">
        <f>'Reg Output - Commissioned'!J20/30</f>
        <v/>
      </c>
      <c r="O188" s="44">
        <f>'Reg Output - Commissioned'!J20/30</f>
        <v/>
      </c>
      <c r="P188" s="44">
        <f>'Reg Output - Commissioned'!J20/30</f>
        <v/>
      </c>
    </row>
    <row r="189">
      <c r="A189" s="17" t="inlineStr">
        <is>
          <t xml:space="preserve">    Vintage FY2028E</t>
        </is>
      </c>
      <c r="B189" s="26" t="n">
        <v>0</v>
      </c>
      <c r="C189" s="26" t="n">
        <v>0</v>
      </c>
      <c r="D189" s="26" t="n">
        <v>0</v>
      </c>
      <c r="E189" s="26" t="n">
        <v>0</v>
      </c>
      <c r="F189" s="26" t="n">
        <v>0</v>
      </c>
      <c r="G189" s="44" t="n">
        <v>0</v>
      </c>
      <c r="H189" s="44" t="n">
        <v>0</v>
      </c>
      <c r="I189" s="44" t="n">
        <v>0</v>
      </c>
      <c r="J189" s="44" t="n">
        <v>0</v>
      </c>
      <c r="K189" s="44">
        <f>'Reg Output - Commissioned'!K20/30</f>
        <v/>
      </c>
      <c r="L189" s="44">
        <f>'Reg Output - Commissioned'!K20/30</f>
        <v/>
      </c>
      <c r="M189" s="44">
        <f>'Reg Output - Commissioned'!K20/30</f>
        <v/>
      </c>
      <c r="N189" s="44">
        <f>'Reg Output - Commissioned'!K20/30</f>
        <v/>
      </c>
      <c r="O189" s="44">
        <f>'Reg Output - Commissioned'!K20/30</f>
        <v/>
      </c>
      <c r="P189" s="44">
        <f>'Reg Output - Commissioned'!K20/30</f>
        <v/>
      </c>
    </row>
    <row r="190">
      <c r="A190" s="17" t="inlineStr">
        <is>
          <t xml:space="preserve">    Vintage FY2029E</t>
        </is>
      </c>
      <c r="B190" s="26" t="n">
        <v>0</v>
      </c>
      <c r="C190" s="26" t="n">
        <v>0</v>
      </c>
      <c r="D190" s="26" t="n">
        <v>0</v>
      </c>
      <c r="E190" s="26" t="n">
        <v>0</v>
      </c>
      <c r="F190" s="26" t="n">
        <v>0</v>
      </c>
      <c r="G190" s="44" t="n">
        <v>0</v>
      </c>
      <c r="H190" s="44" t="n">
        <v>0</v>
      </c>
      <c r="I190" s="44" t="n">
        <v>0</v>
      </c>
      <c r="J190" s="44" t="n">
        <v>0</v>
      </c>
      <c r="K190" s="44" t="n">
        <v>0</v>
      </c>
      <c r="L190" s="44">
        <f>'Reg Output - Commissioned'!L20/30</f>
        <v/>
      </c>
      <c r="M190" s="44">
        <f>'Reg Output - Commissioned'!L20/30</f>
        <v/>
      </c>
      <c r="N190" s="44">
        <f>'Reg Output - Commissioned'!L20/30</f>
        <v/>
      </c>
      <c r="O190" s="44">
        <f>'Reg Output - Commissioned'!L20/30</f>
        <v/>
      </c>
      <c r="P190" s="44">
        <f>'Reg Output - Commissioned'!L20/30</f>
        <v/>
      </c>
    </row>
    <row r="191">
      <c r="A191" s="17" t="inlineStr">
        <is>
          <t xml:space="preserve">    Vintage FY2030E</t>
        </is>
      </c>
      <c r="B191" s="26" t="n">
        <v>0</v>
      </c>
      <c r="C191" s="26" t="n">
        <v>0</v>
      </c>
      <c r="D191" s="26" t="n">
        <v>0</v>
      </c>
      <c r="E191" s="26" t="n">
        <v>0</v>
      </c>
      <c r="F191" s="26" t="n">
        <v>0</v>
      </c>
      <c r="G191" s="44" t="n">
        <v>0</v>
      </c>
      <c r="H191" s="44" t="n">
        <v>0</v>
      </c>
      <c r="I191" s="44" t="n">
        <v>0</v>
      </c>
      <c r="J191" s="44" t="n">
        <v>0</v>
      </c>
      <c r="K191" s="44" t="n">
        <v>0</v>
      </c>
      <c r="L191" s="44" t="n">
        <v>0</v>
      </c>
      <c r="M191" s="44">
        <f>'Reg Output - Commissioned'!M20/30</f>
        <v/>
      </c>
      <c r="N191" s="44">
        <f>'Reg Output - Commissioned'!M20/30</f>
        <v/>
      </c>
      <c r="O191" s="44">
        <f>'Reg Output - Commissioned'!M20/30</f>
        <v/>
      </c>
      <c r="P191" s="44">
        <f>'Reg Output - Commissioned'!M20/30</f>
        <v/>
      </c>
    </row>
    <row r="192">
      <c r="A192" s="17" t="inlineStr">
        <is>
          <t xml:space="preserve">    Vintage FY2031E</t>
        </is>
      </c>
      <c r="B192" s="26" t="n">
        <v>0</v>
      </c>
      <c r="C192" s="26" t="n">
        <v>0</v>
      </c>
      <c r="D192" s="26" t="n">
        <v>0</v>
      </c>
      <c r="E192" s="26" t="n">
        <v>0</v>
      </c>
      <c r="F192" s="26" t="n">
        <v>0</v>
      </c>
      <c r="G192" s="44" t="n">
        <v>0</v>
      </c>
      <c r="H192" s="44" t="n">
        <v>0</v>
      </c>
      <c r="I192" s="44" t="n">
        <v>0</v>
      </c>
      <c r="J192" s="44" t="n">
        <v>0</v>
      </c>
      <c r="K192" s="44" t="n">
        <v>0</v>
      </c>
      <c r="L192" s="44" t="n">
        <v>0</v>
      </c>
      <c r="M192" s="44" t="n">
        <v>0</v>
      </c>
      <c r="N192" s="44">
        <f>'Reg Output - Commissioned'!N20/30</f>
        <v/>
      </c>
      <c r="O192" s="44">
        <f>'Reg Output - Commissioned'!N20/30</f>
        <v/>
      </c>
      <c r="P192" s="44">
        <f>'Reg Output - Commissioned'!N20/30</f>
        <v/>
      </c>
    </row>
    <row r="193">
      <c r="A193" s="17" t="inlineStr">
        <is>
          <t xml:space="preserve">    Vintage FY2032E</t>
        </is>
      </c>
      <c r="B193" s="26" t="n">
        <v>0</v>
      </c>
      <c r="C193" s="26" t="n">
        <v>0</v>
      </c>
      <c r="D193" s="26" t="n">
        <v>0</v>
      </c>
      <c r="E193" s="26" t="n">
        <v>0</v>
      </c>
      <c r="F193" s="26" t="n">
        <v>0</v>
      </c>
      <c r="G193" s="44" t="n">
        <v>0</v>
      </c>
      <c r="H193" s="44" t="n">
        <v>0</v>
      </c>
      <c r="I193" s="44" t="n">
        <v>0</v>
      </c>
      <c r="J193" s="44" t="n">
        <v>0</v>
      </c>
      <c r="K193" s="44" t="n">
        <v>0</v>
      </c>
      <c r="L193" s="44" t="n">
        <v>0</v>
      </c>
      <c r="M193" s="44" t="n">
        <v>0</v>
      </c>
      <c r="N193" s="44" t="n">
        <v>0</v>
      </c>
      <c r="O193" s="44">
        <f>'Reg Output - Commissioned'!O20/30</f>
        <v/>
      </c>
      <c r="P193" s="44">
        <f>'Reg Output - Commissioned'!O20/30</f>
        <v/>
      </c>
    </row>
    <row r="194">
      <c r="A194" s="17" t="inlineStr">
        <is>
          <t xml:space="preserve">    Vintage FY2033E</t>
        </is>
      </c>
      <c r="B194" s="26" t="n">
        <v>0</v>
      </c>
      <c r="C194" s="26" t="n">
        <v>0</v>
      </c>
      <c r="D194" s="26" t="n">
        <v>0</v>
      </c>
      <c r="E194" s="26" t="n">
        <v>0</v>
      </c>
      <c r="F194" s="26" t="n">
        <v>0</v>
      </c>
      <c r="G194" s="44" t="n">
        <v>0</v>
      </c>
      <c r="H194" s="44" t="n">
        <v>0</v>
      </c>
      <c r="I194" s="44" t="n">
        <v>0</v>
      </c>
      <c r="J194" s="44" t="n">
        <v>0</v>
      </c>
      <c r="K194" s="44" t="n">
        <v>0</v>
      </c>
      <c r="L194" s="44" t="n">
        <v>0</v>
      </c>
      <c r="M194" s="44" t="n">
        <v>0</v>
      </c>
      <c r="N194" s="44" t="n">
        <v>0</v>
      </c>
      <c r="O194" s="44" t="n">
        <v>0</v>
      </c>
      <c r="P194" s="44">
        <f>'Reg Output - Commissioned'!P20/30</f>
        <v/>
      </c>
    </row>
    <row r="195">
      <c r="A195" s="17" t="inlineStr">
        <is>
          <t xml:space="preserve">    AC16 Total Depn</t>
        </is>
      </c>
      <c r="B195" s="43">
        <f>SUM(B185:B194)</f>
        <v/>
      </c>
      <c r="C195" s="43">
        <f>SUM(C185:C194)</f>
        <v/>
      </c>
      <c r="D195" s="43">
        <f>SUM(D185:D194)</f>
        <v/>
      </c>
      <c r="E195" s="43">
        <f>SUM(E185:E194)</f>
        <v/>
      </c>
      <c r="F195" s="43">
        <f>SUM(F185:F194)</f>
        <v/>
      </c>
      <c r="G195" s="43">
        <f>SUM(G185:G194)</f>
        <v/>
      </c>
      <c r="H195" s="43">
        <f>SUM(H185:H194)</f>
        <v/>
      </c>
      <c r="I195" s="43">
        <f>SUM(I185:I194)</f>
        <v/>
      </c>
      <c r="J195" s="43">
        <f>SUM(J185:J194)</f>
        <v/>
      </c>
      <c r="K195" s="43">
        <f>SUM(K185:K194)</f>
        <v/>
      </c>
      <c r="L195" s="43">
        <f>SUM(L185:L194)</f>
        <v/>
      </c>
      <c r="M195" s="43">
        <f>SUM(M185:M194)</f>
        <v/>
      </c>
      <c r="N195" s="43">
        <f>SUM(N185:N194)</f>
        <v/>
      </c>
      <c r="O195" s="43">
        <f>SUM(O185:O194)</f>
        <v/>
      </c>
      <c r="P195" s="43">
        <f>SUM(P185:P194)</f>
        <v/>
      </c>
    </row>
    <row r="196">
      <c r="A196" s="15" t="inlineStr">
        <is>
          <t>AC17  Placeholder AC17  |  Useful Life: 30yr</t>
        </is>
      </c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</row>
    <row r="197">
      <c r="A197" s="17" t="inlineStr">
        <is>
          <t xml:space="preserve">    Vintage FY2024E</t>
        </is>
      </c>
      <c r="B197" s="26" t="n">
        <v>0</v>
      </c>
      <c r="C197" s="26" t="n">
        <v>0</v>
      </c>
      <c r="D197" s="26" t="n">
        <v>0</v>
      </c>
      <c r="E197" s="26" t="n">
        <v>0</v>
      </c>
      <c r="F197" s="26" t="n">
        <v>0</v>
      </c>
      <c r="G197" s="44">
        <f>'Reg Output - Commissioned'!G21/30</f>
        <v/>
      </c>
      <c r="H197" s="44">
        <f>'Reg Output - Commissioned'!G21/30</f>
        <v/>
      </c>
      <c r="I197" s="44">
        <f>'Reg Output - Commissioned'!G21/30</f>
        <v/>
      </c>
      <c r="J197" s="44">
        <f>'Reg Output - Commissioned'!G21/30</f>
        <v/>
      </c>
      <c r="K197" s="44">
        <f>'Reg Output - Commissioned'!G21/30</f>
        <v/>
      </c>
      <c r="L197" s="44">
        <f>'Reg Output - Commissioned'!G21/30</f>
        <v/>
      </c>
      <c r="M197" s="44">
        <f>'Reg Output - Commissioned'!G21/30</f>
        <v/>
      </c>
      <c r="N197" s="44">
        <f>'Reg Output - Commissioned'!G21/30</f>
        <v/>
      </c>
      <c r="O197" s="44">
        <f>'Reg Output - Commissioned'!G21/30</f>
        <v/>
      </c>
      <c r="P197" s="44">
        <f>'Reg Output - Commissioned'!G21/30</f>
        <v/>
      </c>
    </row>
    <row r="198">
      <c r="A198" s="17" t="inlineStr">
        <is>
          <t xml:space="preserve">    Vintage FY2025E</t>
        </is>
      </c>
      <c r="B198" s="26" t="n">
        <v>0</v>
      </c>
      <c r="C198" s="26" t="n">
        <v>0</v>
      </c>
      <c r="D198" s="26" t="n">
        <v>0</v>
      </c>
      <c r="E198" s="26" t="n">
        <v>0</v>
      </c>
      <c r="F198" s="26" t="n">
        <v>0</v>
      </c>
      <c r="G198" s="44" t="n">
        <v>0</v>
      </c>
      <c r="H198" s="44">
        <f>'Reg Output - Commissioned'!H21/30</f>
        <v/>
      </c>
      <c r="I198" s="44">
        <f>'Reg Output - Commissioned'!H21/30</f>
        <v/>
      </c>
      <c r="J198" s="44">
        <f>'Reg Output - Commissioned'!H21/30</f>
        <v/>
      </c>
      <c r="K198" s="44">
        <f>'Reg Output - Commissioned'!H21/30</f>
        <v/>
      </c>
      <c r="L198" s="44">
        <f>'Reg Output - Commissioned'!H21/30</f>
        <v/>
      </c>
      <c r="M198" s="44">
        <f>'Reg Output - Commissioned'!H21/30</f>
        <v/>
      </c>
      <c r="N198" s="44">
        <f>'Reg Output - Commissioned'!H21/30</f>
        <v/>
      </c>
      <c r="O198" s="44">
        <f>'Reg Output - Commissioned'!H21/30</f>
        <v/>
      </c>
      <c r="P198" s="44">
        <f>'Reg Output - Commissioned'!H21/30</f>
        <v/>
      </c>
    </row>
    <row r="199">
      <c r="A199" s="17" t="inlineStr">
        <is>
          <t xml:space="preserve">    Vintage FY2026E</t>
        </is>
      </c>
      <c r="B199" s="26" t="n">
        <v>0</v>
      </c>
      <c r="C199" s="26" t="n">
        <v>0</v>
      </c>
      <c r="D199" s="26" t="n">
        <v>0</v>
      </c>
      <c r="E199" s="26" t="n">
        <v>0</v>
      </c>
      <c r="F199" s="26" t="n">
        <v>0</v>
      </c>
      <c r="G199" s="44" t="n">
        <v>0</v>
      </c>
      <c r="H199" s="44" t="n">
        <v>0</v>
      </c>
      <c r="I199" s="44">
        <f>'Reg Output - Commissioned'!I21/30</f>
        <v/>
      </c>
      <c r="J199" s="44">
        <f>'Reg Output - Commissioned'!I21/30</f>
        <v/>
      </c>
      <c r="K199" s="44">
        <f>'Reg Output - Commissioned'!I21/30</f>
        <v/>
      </c>
      <c r="L199" s="44">
        <f>'Reg Output - Commissioned'!I21/30</f>
        <v/>
      </c>
      <c r="M199" s="44">
        <f>'Reg Output - Commissioned'!I21/30</f>
        <v/>
      </c>
      <c r="N199" s="44">
        <f>'Reg Output - Commissioned'!I21/30</f>
        <v/>
      </c>
      <c r="O199" s="44">
        <f>'Reg Output - Commissioned'!I21/30</f>
        <v/>
      </c>
      <c r="P199" s="44">
        <f>'Reg Output - Commissioned'!I21/30</f>
        <v/>
      </c>
    </row>
    <row r="200">
      <c r="A200" s="17" t="inlineStr">
        <is>
          <t xml:space="preserve">    Vintage FY2027E</t>
        </is>
      </c>
      <c r="B200" s="26" t="n">
        <v>0</v>
      </c>
      <c r="C200" s="26" t="n">
        <v>0</v>
      </c>
      <c r="D200" s="26" t="n">
        <v>0</v>
      </c>
      <c r="E200" s="26" t="n">
        <v>0</v>
      </c>
      <c r="F200" s="26" t="n">
        <v>0</v>
      </c>
      <c r="G200" s="44" t="n">
        <v>0</v>
      </c>
      <c r="H200" s="44" t="n">
        <v>0</v>
      </c>
      <c r="I200" s="44" t="n">
        <v>0</v>
      </c>
      <c r="J200" s="44">
        <f>'Reg Output - Commissioned'!J21/30</f>
        <v/>
      </c>
      <c r="K200" s="44">
        <f>'Reg Output - Commissioned'!J21/30</f>
        <v/>
      </c>
      <c r="L200" s="44">
        <f>'Reg Output - Commissioned'!J21/30</f>
        <v/>
      </c>
      <c r="M200" s="44">
        <f>'Reg Output - Commissioned'!J21/30</f>
        <v/>
      </c>
      <c r="N200" s="44">
        <f>'Reg Output - Commissioned'!J21/30</f>
        <v/>
      </c>
      <c r="O200" s="44">
        <f>'Reg Output - Commissioned'!J21/30</f>
        <v/>
      </c>
      <c r="P200" s="44">
        <f>'Reg Output - Commissioned'!J21/30</f>
        <v/>
      </c>
    </row>
    <row r="201">
      <c r="A201" s="17" t="inlineStr">
        <is>
          <t xml:space="preserve">    Vintage FY2028E</t>
        </is>
      </c>
      <c r="B201" s="26" t="n">
        <v>0</v>
      </c>
      <c r="C201" s="26" t="n">
        <v>0</v>
      </c>
      <c r="D201" s="26" t="n">
        <v>0</v>
      </c>
      <c r="E201" s="26" t="n">
        <v>0</v>
      </c>
      <c r="F201" s="26" t="n">
        <v>0</v>
      </c>
      <c r="G201" s="44" t="n">
        <v>0</v>
      </c>
      <c r="H201" s="44" t="n">
        <v>0</v>
      </c>
      <c r="I201" s="44" t="n">
        <v>0</v>
      </c>
      <c r="J201" s="44" t="n">
        <v>0</v>
      </c>
      <c r="K201" s="44">
        <f>'Reg Output - Commissioned'!K21/30</f>
        <v/>
      </c>
      <c r="L201" s="44">
        <f>'Reg Output - Commissioned'!K21/30</f>
        <v/>
      </c>
      <c r="M201" s="44">
        <f>'Reg Output - Commissioned'!K21/30</f>
        <v/>
      </c>
      <c r="N201" s="44">
        <f>'Reg Output - Commissioned'!K21/30</f>
        <v/>
      </c>
      <c r="O201" s="44">
        <f>'Reg Output - Commissioned'!K21/30</f>
        <v/>
      </c>
      <c r="P201" s="44">
        <f>'Reg Output - Commissioned'!K21/30</f>
        <v/>
      </c>
    </row>
    <row r="202">
      <c r="A202" s="17" t="inlineStr">
        <is>
          <t xml:space="preserve">    Vintage FY2029E</t>
        </is>
      </c>
      <c r="B202" s="26" t="n">
        <v>0</v>
      </c>
      <c r="C202" s="26" t="n">
        <v>0</v>
      </c>
      <c r="D202" s="26" t="n">
        <v>0</v>
      </c>
      <c r="E202" s="26" t="n">
        <v>0</v>
      </c>
      <c r="F202" s="26" t="n">
        <v>0</v>
      </c>
      <c r="G202" s="44" t="n">
        <v>0</v>
      </c>
      <c r="H202" s="44" t="n">
        <v>0</v>
      </c>
      <c r="I202" s="44" t="n">
        <v>0</v>
      </c>
      <c r="J202" s="44" t="n">
        <v>0</v>
      </c>
      <c r="K202" s="44" t="n">
        <v>0</v>
      </c>
      <c r="L202" s="44">
        <f>'Reg Output - Commissioned'!L21/30</f>
        <v/>
      </c>
      <c r="M202" s="44">
        <f>'Reg Output - Commissioned'!L21/30</f>
        <v/>
      </c>
      <c r="N202" s="44">
        <f>'Reg Output - Commissioned'!L21/30</f>
        <v/>
      </c>
      <c r="O202" s="44">
        <f>'Reg Output - Commissioned'!L21/30</f>
        <v/>
      </c>
      <c r="P202" s="44">
        <f>'Reg Output - Commissioned'!L21/30</f>
        <v/>
      </c>
    </row>
    <row r="203">
      <c r="A203" s="17" t="inlineStr">
        <is>
          <t xml:space="preserve">    Vintage FY2030E</t>
        </is>
      </c>
      <c r="B203" s="26" t="n">
        <v>0</v>
      </c>
      <c r="C203" s="26" t="n">
        <v>0</v>
      </c>
      <c r="D203" s="26" t="n">
        <v>0</v>
      </c>
      <c r="E203" s="26" t="n">
        <v>0</v>
      </c>
      <c r="F203" s="26" t="n">
        <v>0</v>
      </c>
      <c r="G203" s="44" t="n">
        <v>0</v>
      </c>
      <c r="H203" s="44" t="n">
        <v>0</v>
      </c>
      <c r="I203" s="44" t="n">
        <v>0</v>
      </c>
      <c r="J203" s="44" t="n">
        <v>0</v>
      </c>
      <c r="K203" s="44" t="n">
        <v>0</v>
      </c>
      <c r="L203" s="44" t="n">
        <v>0</v>
      </c>
      <c r="M203" s="44">
        <f>'Reg Output - Commissioned'!M21/30</f>
        <v/>
      </c>
      <c r="N203" s="44">
        <f>'Reg Output - Commissioned'!M21/30</f>
        <v/>
      </c>
      <c r="O203" s="44">
        <f>'Reg Output - Commissioned'!M21/30</f>
        <v/>
      </c>
      <c r="P203" s="44">
        <f>'Reg Output - Commissioned'!M21/30</f>
        <v/>
      </c>
    </row>
    <row r="204">
      <c r="A204" s="17" t="inlineStr">
        <is>
          <t xml:space="preserve">    Vintage FY2031E</t>
        </is>
      </c>
      <c r="B204" s="26" t="n">
        <v>0</v>
      </c>
      <c r="C204" s="26" t="n">
        <v>0</v>
      </c>
      <c r="D204" s="26" t="n">
        <v>0</v>
      </c>
      <c r="E204" s="26" t="n">
        <v>0</v>
      </c>
      <c r="F204" s="26" t="n">
        <v>0</v>
      </c>
      <c r="G204" s="44" t="n">
        <v>0</v>
      </c>
      <c r="H204" s="44" t="n">
        <v>0</v>
      </c>
      <c r="I204" s="44" t="n">
        <v>0</v>
      </c>
      <c r="J204" s="44" t="n">
        <v>0</v>
      </c>
      <c r="K204" s="44" t="n">
        <v>0</v>
      </c>
      <c r="L204" s="44" t="n">
        <v>0</v>
      </c>
      <c r="M204" s="44" t="n">
        <v>0</v>
      </c>
      <c r="N204" s="44">
        <f>'Reg Output - Commissioned'!N21/30</f>
        <v/>
      </c>
      <c r="O204" s="44">
        <f>'Reg Output - Commissioned'!N21/30</f>
        <v/>
      </c>
      <c r="P204" s="44">
        <f>'Reg Output - Commissioned'!N21/30</f>
        <v/>
      </c>
    </row>
    <row r="205">
      <c r="A205" s="17" t="inlineStr">
        <is>
          <t xml:space="preserve">    Vintage FY2032E</t>
        </is>
      </c>
      <c r="B205" s="26" t="n">
        <v>0</v>
      </c>
      <c r="C205" s="26" t="n">
        <v>0</v>
      </c>
      <c r="D205" s="26" t="n">
        <v>0</v>
      </c>
      <c r="E205" s="26" t="n">
        <v>0</v>
      </c>
      <c r="F205" s="26" t="n">
        <v>0</v>
      </c>
      <c r="G205" s="44" t="n">
        <v>0</v>
      </c>
      <c r="H205" s="44" t="n">
        <v>0</v>
      </c>
      <c r="I205" s="44" t="n">
        <v>0</v>
      </c>
      <c r="J205" s="44" t="n">
        <v>0</v>
      </c>
      <c r="K205" s="44" t="n">
        <v>0</v>
      </c>
      <c r="L205" s="44" t="n">
        <v>0</v>
      </c>
      <c r="M205" s="44" t="n">
        <v>0</v>
      </c>
      <c r="N205" s="44" t="n">
        <v>0</v>
      </c>
      <c r="O205" s="44">
        <f>'Reg Output - Commissioned'!O21/30</f>
        <v/>
      </c>
      <c r="P205" s="44">
        <f>'Reg Output - Commissioned'!O21/30</f>
        <v/>
      </c>
    </row>
    <row r="206">
      <c r="A206" s="17" t="inlineStr">
        <is>
          <t xml:space="preserve">    Vintage FY2033E</t>
        </is>
      </c>
      <c r="B206" s="26" t="n">
        <v>0</v>
      </c>
      <c r="C206" s="26" t="n">
        <v>0</v>
      </c>
      <c r="D206" s="26" t="n">
        <v>0</v>
      </c>
      <c r="E206" s="26" t="n">
        <v>0</v>
      </c>
      <c r="F206" s="26" t="n">
        <v>0</v>
      </c>
      <c r="G206" s="44" t="n">
        <v>0</v>
      </c>
      <c r="H206" s="44" t="n">
        <v>0</v>
      </c>
      <c r="I206" s="44" t="n">
        <v>0</v>
      </c>
      <c r="J206" s="44" t="n">
        <v>0</v>
      </c>
      <c r="K206" s="44" t="n">
        <v>0</v>
      </c>
      <c r="L206" s="44" t="n">
        <v>0</v>
      </c>
      <c r="M206" s="44" t="n">
        <v>0</v>
      </c>
      <c r="N206" s="44" t="n">
        <v>0</v>
      </c>
      <c r="O206" s="44" t="n">
        <v>0</v>
      </c>
      <c r="P206" s="44">
        <f>'Reg Output - Commissioned'!P21/30</f>
        <v/>
      </c>
    </row>
    <row r="207">
      <c r="A207" s="17" t="inlineStr">
        <is>
          <t xml:space="preserve">    AC17 Total Depn</t>
        </is>
      </c>
      <c r="B207" s="43">
        <f>SUM(B197:B206)</f>
        <v/>
      </c>
      <c r="C207" s="43">
        <f>SUM(C197:C206)</f>
        <v/>
      </c>
      <c r="D207" s="43">
        <f>SUM(D197:D206)</f>
        <v/>
      </c>
      <c r="E207" s="43">
        <f>SUM(E197:E206)</f>
        <v/>
      </c>
      <c r="F207" s="43">
        <f>SUM(F197:F206)</f>
        <v/>
      </c>
      <c r="G207" s="43">
        <f>SUM(G197:G206)</f>
        <v/>
      </c>
      <c r="H207" s="43">
        <f>SUM(H197:H206)</f>
        <v/>
      </c>
      <c r="I207" s="43">
        <f>SUM(I197:I206)</f>
        <v/>
      </c>
      <c r="J207" s="43">
        <f>SUM(J197:J206)</f>
        <v/>
      </c>
      <c r="K207" s="43">
        <f>SUM(K197:K206)</f>
        <v/>
      </c>
      <c r="L207" s="43">
        <f>SUM(L197:L206)</f>
        <v/>
      </c>
      <c r="M207" s="43">
        <f>SUM(M197:M206)</f>
        <v/>
      </c>
      <c r="N207" s="43">
        <f>SUM(N197:N206)</f>
        <v/>
      </c>
      <c r="O207" s="43">
        <f>SUM(O197:O206)</f>
        <v/>
      </c>
      <c r="P207" s="43">
        <f>SUM(P197:P206)</f>
        <v/>
      </c>
    </row>
    <row r="208">
      <c r="A208" s="15" t="inlineStr">
        <is>
          <t>AC18  Placeholder AC18  |  Useful Life: 30yr</t>
        </is>
      </c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</row>
    <row r="209">
      <c r="A209" s="17" t="inlineStr">
        <is>
          <t xml:space="preserve">    Vintage FY2024E</t>
        </is>
      </c>
      <c r="B209" s="26" t="n">
        <v>0</v>
      </c>
      <c r="C209" s="26" t="n">
        <v>0</v>
      </c>
      <c r="D209" s="26" t="n">
        <v>0</v>
      </c>
      <c r="E209" s="26" t="n">
        <v>0</v>
      </c>
      <c r="F209" s="26" t="n">
        <v>0</v>
      </c>
      <c r="G209" s="44">
        <f>'Reg Output - Commissioned'!G22/30</f>
        <v/>
      </c>
      <c r="H209" s="44">
        <f>'Reg Output - Commissioned'!G22/30</f>
        <v/>
      </c>
      <c r="I209" s="44">
        <f>'Reg Output - Commissioned'!G22/30</f>
        <v/>
      </c>
      <c r="J209" s="44">
        <f>'Reg Output - Commissioned'!G22/30</f>
        <v/>
      </c>
      <c r="K209" s="44">
        <f>'Reg Output - Commissioned'!G22/30</f>
        <v/>
      </c>
      <c r="L209" s="44">
        <f>'Reg Output - Commissioned'!G22/30</f>
        <v/>
      </c>
      <c r="M209" s="44">
        <f>'Reg Output - Commissioned'!G22/30</f>
        <v/>
      </c>
      <c r="N209" s="44">
        <f>'Reg Output - Commissioned'!G22/30</f>
        <v/>
      </c>
      <c r="O209" s="44">
        <f>'Reg Output - Commissioned'!G22/30</f>
        <v/>
      </c>
      <c r="P209" s="44">
        <f>'Reg Output - Commissioned'!G22/30</f>
        <v/>
      </c>
    </row>
    <row r="210">
      <c r="A210" s="17" t="inlineStr">
        <is>
          <t xml:space="preserve">    Vintage FY2025E</t>
        </is>
      </c>
      <c r="B210" s="26" t="n">
        <v>0</v>
      </c>
      <c r="C210" s="26" t="n">
        <v>0</v>
      </c>
      <c r="D210" s="26" t="n">
        <v>0</v>
      </c>
      <c r="E210" s="26" t="n">
        <v>0</v>
      </c>
      <c r="F210" s="26" t="n">
        <v>0</v>
      </c>
      <c r="G210" s="44" t="n">
        <v>0</v>
      </c>
      <c r="H210" s="44">
        <f>'Reg Output - Commissioned'!H22/30</f>
        <v/>
      </c>
      <c r="I210" s="44">
        <f>'Reg Output - Commissioned'!H22/30</f>
        <v/>
      </c>
      <c r="J210" s="44">
        <f>'Reg Output - Commissioned'!H22/30</f>
        <v/>
      </c>
      <c r="K210" s="44">
        <f>'Reg Output - Commissioned'!H22/30</f>
        <v/>
      </c>
      <c r="L210" s="44">
        <f>'Reg Output - Commissioned'!H22/30</f>
        <v/>
      </c>
      <c r="M210" s="44">
        <f>'Reg Output - Commissioned'!H22/30</f>
        <v/>
      </c>
      <c r="N210" s="44">
        <f>'Reg Output - Commissioned'!H22/30</f>
        <v/>
      </c>
      <c r="O210" s="44">
        <f>'Reg Output - Commissioned'!H22/30</f>
        <v/>
      </c>
      <c r="P210" s="44">
        <f>'Reg Output - Commissioned'!H22/30</f>
        <v/>
      </c>
    </row>
    <row r="211">
      <c r="A211" s="17" t="inlineStr">
        <is>
          <t xml:space="preserve">    Vintage FY2026E</t>
        </is>
      </c>
      <c r="B211" s="26" t="n">
        <v>0</v>
      </c>
      <c r="C211" s="26" t="n">
        <v>0</v>
      </c>
      <c r="D211" s="26" t="n">
        <v>0</v>
      </c>
      <c r="E211" s="26" t="n">
        <v>0</v>
      </c>
      <c r="F211" s="26" t="n">
        <v>0</v>
      </c>
      <c r="G211" s="44" t="n">
        <v>0</v>
      </c>
      <c r="H211" s="44" t="n">
        <v>0</v>
      </c>
      <c r="I211" s="44">
        <f>'Reg Output - Commissioned'!I22/30</f>
        <v/>
      </c>
      <c r="J211" s="44">
        <f>'Reg Output - Commissioned'!I22/30</f>
        <v/>
      </c>
      <c r="K211" s="44">
        <f>'Reg Output - Commissioned'!I22/30</f>
        <v/>
      </c>
      <c r="L211" s="44">
        <f>'Reg Output - Commissioned'!I22/30</f>
        <v/>
      </c>
      <c r="M211" s="44">
        <f>'Reg Output - Commissioned'!I22/30</f>
        <v/>
      </c>
      <c r="N211" s="44">
        <f>'Reg Output - Commissioned'!I22/30</f>
        <v/>
      </c>
      <c r="O211" s="44">
        <f>'Reg Output - Commissioned'!I22/30</f>
        <v/>
      </c>
      <c r="P211" s="44">
        <f>'Reg Output - Commissioned'!I22/30</f>
        <v/>
      </c>
    </row>
    <row r="212">
      <c r="A212" s="17" t="inlineStr">
        <is>
          <t xml:space="preserve">    Vintage FY2027E</t>
        </is>
      </c>
      <c r="B212" s="26" t="n">
        <v>0</v>
      </c>
      <c r="C212" s="26" t="n">
        <v>0</v>
      </c>
      <c r="D212" s="26" t="n">
        <v>0</v>
      </c>
      <c r="E212" s="26" t="n">
        <v>0</v>
      </c>
      <c r="F212" s="26" t="n">
        <v>0</v>
      </c>
      <c r="G212" s="44" t="n">
        <v>0</v>
      </c>
      <c r="H212" s="44" t="n">
        <v>0</v>
      </c>
      <c r="I212" s="44" t="n">
        <v>0</v>
      </c>
      <c r="J212" s="44">
        <f>'Reg Output - Commissioned'!J22/30</f>
        <v/>
      </c>
      <c r="K212" s="44">
        <f>'Reg Output - Commissioned'!J22/30</f>
        <v/>
      </c>
      <c r="L212" s="44">
        <f>'Reg Output - Commissioned'!J22/30</f>
        <v/>
      </c>
      <c r="M212" s="44">
        <f>'Reg Output - Commissioned'!J22/30</f>
        <v/>
      </c>
      <c r="N212" s="44">
        <f>'Reg Output - Commissioned'!J22/30</f>
        <v/>
      </c>
      <c r="O212" s="44">
        <f>'Reg Output - Commissioned'!J22/30</f>
        <v/>
      </c>
      <c r="P212" s="44">
        <f>'Reg Output - Commissioned'!J22/30</f>
        <v/>
      </c>
    </row>
    <row r="213">
      <c r="A213" s="17" t="inlineStr">
        <is>
          <t xml:space="preserve">    Vintage FY2028E</t>
        </is>
      </c>
      <c r="B213" s="26" t="n">
        <v>0</v>
      </c>
      <c r="C213" s="26" t="n">
        <v>0</v>
      </c>
      <c r="D213" s="26" t="n">
        <v>0</v>
      </c>
      <c r="E213" s="26" t="n">
        <v>0</v>
      </c>
      <c r="F213" s="26" t="n">
        <v>0</v>
      </c>
      <c r="G213" s="44" t="n">
        <v>0</v>
      </c>
      <c r="H213" s="44" t="n">
        <v>0</v>
      </c>
      <c r="I213" s="44" t="n">
        <v>0</v>
      </c>
      <c r="J213" s="44" t="n">
        <v>0</v>
      </c>
      <c r="K213" s="44">
        <f>'Reg Output - Commissioned'!K22/30</f>
        <v/>
      </c>
      <c r="L213" s="44">
        <f>'Reg Output - Commissioned'!K22/30</f>
        <v/>
      </c>
      <c r="M213" s="44">
        <f>'Reg Output - Commissioned'!K22/30</f>
        <v/>
      </c>
      <c r="N213" s="44">
        <f>'Reg Output - Commissioned'!K22/30</f>
        <v/>
      </c>
      <c r="O213" s="44">
        <f>'Reg Output - Commissioned'!K22/30</f>
        <v/>
      </c>
      <c r="P213" s="44">
        <f>'Reg Output - Commissioned'!K22/30</f>
        <v/>
      </c>
    </row>
    <row r="214">
      <c r="A214" s="17" t="inlineStr">
        <is>
          <t xml:space="preserve">    Vintage FY2029E</t>
        </is>
      </c>
      <c r="B214" s="26" t="n">
        <v>0</v>
      </c>
      <c r="C214" s="26" t="n">
        <v>0</v>
      </c>
      <c r="D214" s="26" t="n">
        <v>0</v>
      </c>
      <c r="E214" s="26" t="n">
        <v>0</v>
      </c>
      <c r="F214" s="26" t="n">
        <v>0</v>
      </c>
      <c r="G214" s="44" t="n">
        <v>0</v>
      </c>
      <c r="H214" s="44" t="n">
        <v>0</v>
      </c>
      <c r="I214" s="44" t="n">
        <v>0</v>
      </c>
      <c r="J214" s="44" t="n">
        <v>0</v>
      </c>
      <c r="K214" s="44" t="n">
        <v>0</v>
      </c>
      <c r="L214" s="44">
        <f>'Reg Output - Commissioned'!L22/30</f>
        <v/>
      </c>
      <c r="M214" s="44">
        <f>'Reg Output - Commissioned'!L22/30</f>
        <v/>
      </c>
      <c r="N214" s="44">
        <f>'Reg Output - Commissioned'!L22/30</f>
        <v/>
      </c>
      <c r="O214" s="44">
        <f>'Reg Output - Commissioned'!L22/30</f>
        <v/>
      </c>
      <c r="P214" s="44">
        <f>'Reg Output - Commissioned'!L22/30</f>
        <v/>
      </c>
    </row>
    <row r="215">
      <c r="A215" s="17" t="inlineStr">
        <is>
          <t xml:space="preserve">    Vintage FY2030E</t>
        </is>
      </c>
      <c r="B215" s="26" t="n">
        <v>0</v>
      </c>
      <c r="C215" s="26" t="n">
        <v>0</v>
      </c>
      <c r="D215" s="26" t="n">
        <v>0</v>
      </c>
      <c r="E215" s="26" t="n">
        <v>0</v>
      </c>
      <c r="F215" s="26" t="n">
        <v>0</v>
      </c>
      <c r="G215" s="44" t="n">
        <v>0</v>
      </c>
      <c r="H215" s="44" t="n">
        <v>0</v>
      </c>
      <c r="I215" s="44" t="n">
        <v>0</v>
      </c>
      <c r="J215" s="44" t="n">
        <v>0</v>
      </c>
      <c r="K215" s="44" t="n">
        <v>0</v>
      </c>
      <c r="L215" s="44" t="n">
        <v>0</v>
      </c>
      <c r="M215" s="44">
        <f>'Reg Output - Commissioned'!M22/30</f>
        <v/>
      </c>
      <c r="N215" s="44">
        <f>'Reg Output - Commissioned'!M22/30</f>
        <v/>
      </c>
      <c r="O215" s="44">
        <f>'Reg Output - Commissioned'!M22/30</f>
        <v/>
      </c>
      <c r="P215" s="44">
        <f>'Reg Output - Commissioned'!M22/30</f>
        <v/>
      </c>
    </row>
    <row r="216">
      <c r="A216" s="17" t="inlineStr">
        <is>
          <t xml:space="preserve">    Vintage FY2031E</t>
        </is>
      </c>
      <c r="B216" s="26" t="n">
        <v>0</v>
      </c>
      <c r="C216" s="26" t="n">
        <v>0</v>
      </c>
      <c r="D216" s="26" t="n">
        <v>0</v>
      </c>
      <c r="E216" s="26" t="n">
        <v>0</v>
      </c>
      <c r="F216" s="26" t="n">
        <v>0</v>
      </c>
      <c r="G216" s="44" t="n">
        <v>0</v>
      </c>
      <c r="H216" s="44" t="n">
        <v>0</v>
      </c>
      <c r="I216" s="44" t="n">
        <v>0</v>
      </c>
      <c r="J216" s="44" t="n">
        <v>0</v>
      </c>
      <c r="K216" s="44" t="n">
        <v>0</v>
      </c>
      <c r="L216" s="44" t="n">
        <v>0</v>
      </c>
      <c r="M216" s="44" t="n">
        <v>0</v>
      </c>
      <c r="N216" s="44">
        <f>'Reg Output - Commissioned'!N22/30</f>
        <v/>
      </c>
      <c r="O216" s="44">
        <f>'Reg Output - Commissioned'!N22/30</f>
        <v/>
      </c>
      <c r="P216" s="44">
        <f>'Reg Output - Commissioned'!N22/30</f>
        <v/>
      </c>
    </row>
    <row r="217">
      <c r="A217" s="17" t="inlineStr">
        <is>
          <t xml:space="preserve">    Vintage FY2032E</t>
        </is>
      </c>
      <c r="B217" s="26" t="n">
        <v>0</v>
      </c>
      <c r="C217" s="26" t="n">
        <v>0</v>
      </c>
      <c r="D217" s="26" t="n">
        <v>0</v>
      </c>
      <c r="E217" s="26" t="n">
        <v>0</v>
      </c>
      <c r="F217" s="26" t="n">
        <v>0</v>
      </c>
      <c r="G217" s="44" t="n">
        <v>0</v>
      </c>
      <c r="H217" s="44" t="n">
        <v>0</v>
      </c>
      <c r="I217" s="44" t="n">
        <v>0</v>
      </c>
      <c r="J217" s="44" t="n">
        <v>0</v>
      </c>
      <c r="K217" s="44" t="n">
        <v>0</v>
      </c>
      <c r="L217" s="44" t="n">
        <v>0</v>
      </c>
      <c r="M217" s="44" t="n">
        <v>0</v>
      </c>
      <c r="N217" s="44" t="n">
        <v>0</v>
      </c>
      <c r="O217" s="44">
        <f>'Reg Output - Commissioned'!O22/30</f>
        <v/>
      </c>
      <c r="P217" s="44">
        <f>'Reg Output - Commissioned'!O22/30</f>
        <v/>
      </c>
    </row>
    <row r="218">
      <c r="A218" s="17" t="inlineStr">
        <is>
          <t xml:space="preserve">    Vintage FY2033E</t>
        </is>
      </c>
      <c r="B218" s="26" t="n">
        <v>0</v>
      </c>
      <c r="C218" s="26" t="n">
        <v>0</v>
      </c>
      <c r="D218" s="26" t="n">
        <v>0</v>
      </c>
      <c r="E218" s="26" t="n">
        <v>0</v>
      </c>
      <c r="F218" s="26" t="n">
        <v>0</v>
      </c>
      <c r="G218" s="44" t="n">
        <v>0</v>
      </c>
      <c r="H218" s="44" t="n">
        <v>0</v>
      </c>
      <c r="I218" s="44" t="n">
        <v>0</v>
      </c>
      <c r="J218" s="44" t="n">
        <v>0</v>
      </c>
      <c r="K218" s="44" t="n">
        <v>0</v>
      </c>
      <c r="L218" s="44" t="n">
        <v>0</v>
      </c>
      <c r="M218" s="44" t="n">
        <v>0</v>
      </c>
      <c r="N218" s="44" t="n">
        <v>0</v>
      </c>
      <c r="O218" s="44" t="n">
        <v>0</v>
      </c>
      <c r="P218" s="44">
        <f>'Reg Output - Commissioned'!P22/30</f>
        <v/>
      </c>
    </row>
    <row r="219">
      <c r="A219" s="17" t="inlineStr">
        <is>
          <t xml:space="preserve">    AC18 Total Depn</t>
        </is>
      </c>
      <c r="B219" s="43">
        <f>SUM(B209:B218)</f>
        <v/>
      </c>
      <c r="C219" s="43">
        <f>SUM(C209:C218)</f>
        <v/>
      </c>
      <c r="D219" s="43">
        <f>SUM(D209:D218)</f>
        <v/>
      </c>
      <c r="E219" s="43">
        <f>SUM(E209:E218)</f>
        <v/>
      </c>
      <c r="F219" s="43">
        <f>SUM(F209:F218)</f>
        <v/>
      </c>
      <c r="G219" s="43">
        <f>SUM(G209:G218)</f>
        <v/>
      </c>
      <c r="H219" s="43">
        <f>SUM(H209:H218)</f>
        <v/>
      </c>
      <c r="I219" s="43">
        <f>SUM(I209:I218)</f>
        <v/>
      </c>
      <c r="J219" s="43">
        <f>SUM(J209:J218)</f>
        <v/>
      </c>
      <c r="K219" s="43">
        <f>SUM(K209:K218)</f>
        <v/>
      </c>
      <c r="L219" s="43">
        <f>SUM(L209:L218)</f>
        <v/>
      </c>
      <c r="M219" s="43">
        <f>SUM(M209:M218)</f>
        <v/>
      </c>
      <c r="N219" s="43">
        <f>SUM(N209:N218)</f>
        <v/>
      </c>
      <c r="O219" s="43">
        <f>SUM(O209:O218)</f>
        <v/>
      </c>
      <c r="P219" s="43">
        <f>SUM(P209:P218)</f>
        <v/>
      </c>
    </row>
    <row r="220">
      <c r="A220" s="15" t="inlineStr">
        <is>
          <t>AC19  Placeholder AC19  |  Useful Life: 30yr</t>
        </is>
      </c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</row>
    <row r="221">
      <c r="A221" s="17" t="inlineStr">
        <is>
          <t xml:space="preserve">    Vintage FY2024E</t>
        </is>
      </c>
      <c r="B221" s="26" t="n">
        <v>0</v>
      </c>
      <c r="C221" s="26" t="n">
        <v>0</v>
      </c>
      <c r="D221" s="26" t="n">
        <v>0</v>
      </c>
      <c r="E221" s="26" t="n">
        <v>0</v>
      </c>
      <c r="F221" s="26" t="n">
        <v>0</v>
      </c>
      <c r="G221" s="44">
        <f>'Reg Output - Commissioned'!G23/30</f>
        <v/>
      </c>
      <c r="H221" s="44">
        <f>'Reg Output - Commissioned'!G23/30</f>
        <v/>
      </c>
      <c r="I221" s="44">
        <f>'Reg Output - Commissioned'!G23/30</f>
        <v/>
      </c>
      <c r="J221" s="44">
        <f>'Reg Output - Commissioned'!G23/30</f>
        <v/>
      </c>
      <c r="K221" s="44">
        <f>'Reg Output - Commissioned'!G23/30</f>
        <v/>
      </c>
      <c r="L221" s="44">
        <f>'Reg Output - Commissioned'!G23/30</f>
        <v/>
      </c>
      <c r="M221" s="44">
        <f>'Reg Output - Commissioned'!G23/30</f>
        <v/>
      </c>
      <c r="N221" s="44">
        <f>'Reg Output - Commissioned'!G23/30</f>
        <v/>
      </c>
      <c r="O221" s="44">
        <f>'Reg Output - Commissioned'!G23/30</f>
        <v/>
      </c>
      <c r="P221" s="44">
        <f>'Reg Output - Commissioned'!G23/30</f>
        <v/>
      </c>
    </row>
    <row r="222">
      <c r="A222" s="17" t="inlineStr">
        <is>
          <t xml:space="preserve">    Vintage FY2025E</t>
        </is>
      </c>
      <c r="B222" s="26" t="n">
        <v>0</v>
      </c>
      <c r="C222" s="26" t="n">
        <v>0</v>
      </c>
      <c r="D222" s="26" t="n">
        <v>0</v>
      </c>
      <c r="E222" s="26" t="n">
        <v>0</v>
      </c>
      <c r="F222" s="26" t="n">
        <v>0</v>
      </c>
      <c r="G222" s="44" t="n">
        <v>0</v>
      </c>
      <c r="H222" s="44">
        <f>'Reg Output - Commissioned'!H23/30</f>
        <v/>
      </c>
      <c r="I222" s="44">
        <f>'Reg Output - Commissioned'!H23/30</f>
        <v/>
      </c>
      <c r="J222" s="44">
        <f>'Reg Output - Commissioned'!H23/30</f>
        <v/>
      </c>
      <c r="K222" s="44">
        <f>'Reg Output - Commissioned'!H23/30</f>
        <v/>
      </c>
      <c r="L222" s="44">
        <f>'Reg Output - Commissioned'!H23/30</f>
        <v/>
      </c>
      <c r="M222" s="44">
        <f>'Reg Output - Commissioned'!H23/30</f>
        <v/>
      </c>
      <c r="N222" s="44">
        <f>'Reg Output - Commissioned'!H23/30</f>
        <v/>
      </c>
      <c r="O222" s="44">
        <f>'Reg Output - Commissioned'!H23/30</f>
        <v/>
      </c>
      <c r="P222" s="44">
        <f>'Reg Output - Commissioned'!H23/30</f>
        <v/>
      </c>
    </row>
    <row r="223">
      <c r="A223" s="17" t="inlineStr">
        <is>
          <t xml:space="preserve">    Vintage FY2026E</t>
        </is>
      </c>
      <c r="B223" s="26" t="n">
        <v>0</v>
      </c>
      <c r="C223" s="26" t="n">
        <v>0</v>
      </c>
      <c r="D223" s="26" t="n">
        <v>0</v>
      </c>
      <c r="E223" s="26" t="n">
        <v>0</v>
      </c>
      <c r="F223" s="26" t="n">
        <v>0</v>
      </c>
      <c r="G223" s="44" t="n">
        <v>0</v>
      </c>
      <c r="H223" s="44" t="n">
        <v>0</v>
      </c>
      <c r="I223" s="44">
        <f>'Reg Output - Commissioned'!I23/30</f>
        <v/>
      </c>
      <c r="J223" s="44">
        <f>'Reg Output - Commissioned'!I23/30</f>
        <v/>
      </c>
      <c r="K223" s="44">
        <f>'Reg Output - Commissioned'!I23/30</f>
        <v/>
      </c>
      <c r="L223" s="44">
        <f>'Reg Output - Commissioned'!I23/30</f>
        <v/>
      </c>
      <c r="M223" s="44">
        <f>'Reg Output - Commissioned'!I23/30</f>
        <v/>
      </c>
      <c r="N223" s="44">
        <f>'Reg Output - Commissioned'!I23/30</f>
        <v/>
      </c>
      <c r="O223" s="44">
        <f>'Reg Output - Commissioned'!I23/30</f>
        <v/>
      </c>
      <c r="P223" s="44">
        <f>'Reg Output - Commissioned'!I23/30</f>
        <v/>
      </c>
    </row>
    <row r="224">
      <c r="A224" s="17" t="inlineStr">
        <is>
          <t xml:space="preserve">    Vintage FY2027E</t>
        </is>
      </c>
      <c r="B224" s="26" t="n">
        <v>0</v>
      </c>
      <c r="C224" s="26" t="n">
        <v>0</v>
      </c>
      <c r="D224" s="26" t="n">
        <v>0</v>
      </c>
      <c r="E224" s="26" t="n">
        <v>0</v>
      </c>
      <c r="F224" s="26" t="n">
        <v>0</v>
      </c>
      <c r="G224" s="44" t="n">
        <v>0</v>
      </c>
      <c r="H224" s="44" t="n">
        <v>0</v>
      </c>
      <c r="I224" s="44" t="n">
        <v>0</v>
      </c>
      <c r="J224" s="44">
        <f>'Reg Output - Commissioned'!J23/30</f>
        <v/>
      </c>
      <c r="K224" s="44">
        <f>'Reg Output - Commissioned'!J23/30</f>
        <v/>
      </c>
      <c r="L224" s="44">
        <f>'Reg Output - Commissioned'!J23/30</f>
        <v/>
      </c>
      <c r="M224" s="44">
        <f>'Reg Output - Commissioned'!J23/30</f>
        <v/>
      </c>
      <c r="N224" s="44">
        <f>'Reg Output - Commissioned'!J23/30</f>
        <v/>
      </c>
      <c r="O224" s="44">
        <f>'Reg Output - Commissioned'!J23/30</f>
        <v/>
      </c>
      <c r="P224" s="44">
        <f>'Reg Output - Commissioned'!J23/30</f>
        <v/>
      </c>
    </row>
    <row r="225">
      <c r="A225" s="17" t="inlineStr">
        <is>
          <t xml:space="preserve">    Vintage FY2028E</t>
        </is>
      </c>
      <c r="B225" s="26" t="n">
        <v>0</v>
      </c>
      <c r="C225" s="26" t="n">
        <v>0</v>
      </c>
      <c r="D225" s="26" t="n">
        <v>0</v>
      </c>
      <c r="E225" s="26" t="n">
        <v>0</v>
      </c>
      <c r="F225" s="26" t="n">
        <v>0</v>
      </c>
      <c r="G225" s="44" t="n">
        <v>0</v>
      </c>
      <c r="H225" s="44" t="n">
        <v>0</v>
      </c>
      <c r="I225" s="44" t="n">
        <v>0</v>
      </c>
      <c r="J225" s="44" t="n">
        <v>0</v>
      </c>
      <c r="K225" s="44">
        <f>'Reg Output - Commissioned'!K23/30</f>
        <v/>
      </c>
      <c r="L225" s="44">
        <f>'Reg Output - Commissioned'!K23/30</f>
        <v/>
      </c>
      <c r="M225" s="44">
        <f>'Reg Output - Commissioned'!K23/30</f>
        <v/>
      </c>
      <c r="N225" s="44">
        <f>'Reg Output - Commissioned'!K23/30</f>
        <v/>
      </c>
      <c r="O225" s="44">
        <f>'Reg Output - Commissioned'!K23/30</f>
        <v/>
      </c>
      <c r="P225" s="44">
        <f>'Reg Output - Commissioned'!K23/30</f>
        <v/>
      </c>
    </row>
    <row r="226">
      <c r="A226" s="17" t="inlineStr">
        <is>
          <t xml:space="preserve">    Vintage FY2029E</t>
        </is>
      </c>
      <c r="B226" s="26" t="n">
        <v>0</v>
      </c>
      <c r="C226" s="26" t="n">
        <v>0</v>
      </c>
      <c r="D226" s="26" t="n">
        <v>0</v>
      </c>
      <c r="E226" s="26" t="n">
        <v>0</v>
      </c>
      <c r="F226" s="26" t="n">
        <v>0</v>
      </c>
      <c r="G226" s="44" t="n">
        <v>0</v>
      </c>
      <c r="H226" s="44" t="n">
        <v>0</v>
      </c>
      <c r="I226" s="44" t="n">
        <v>0</v>
      </c>
      <c r="J226" s="44" t="n">
        <v>0</v>
      </c>
      <c r="K226" s="44" t="n">
        <v>0</v>
      </c>
      <c r="L226" s="44">
        <f>'Reg Output - Commissioned'!L23/30</f>
        <v/>
      </c>
      <c r="M226" s="44">
        <f>'Reg Output - Commissioned'!L23/30</f>
        <v/>
      </c>
      <c r="N226" s="44">
        <f>'Reg Output - Commissioned'!L23/30</f>
        <v/>
      </c>
      <c r="O226" s="44">
        <f>'Reg Output - Commissioned'!L23/30</f>
        <v/>
      </c>
      <c r="P226" s="44">
        <f>'Reg Output - Commissioned'!L23/30</f>
        <v/>
      </c>
    </row>
    <row r="227">
      <c r="A227" s="17" t="inlineStr">
        <is>
          <t xml:space="preserve">    Vintage FY2030E</t>
        </is>
      </c>
      <c r="B227" s="26" t="n">
        <v>0</v>
      </c>
      <c r="C227" s="26" t="n">
        <v>0</v>
      </c>
      <c r="D227" s="26" t="n">
        <v>0</v>
      </c>
      <c r="E227" s="26" t="n">
        <v>0</v>
      </c>
      <c r="F227" s="26" t="n">
        <v>0</v>
      </c>
      <c r="G227" s="44" t="n">
        <v>0</v>
      </c>
      <c r="H227" s="44" t="n">
        <v>0</v>
      </c>
      <c r="I227" s="44" t="n">
        <v>0</v>
      </c>
      <c r="J227" s="44" t="n">
        <v>0</v>
      </c>
      <c r="K227" s="44" t="n">
        <v>0</v>
      </c>
      <c r="L227" s="44" t="n">
        <v>0</v>
      </c>
      <c r="M227" s="44">
        <f>'Reg Output - Commissioned'!M23/30</f>
        <v/>
      </c>
      <c r="N227" s="44">
        <f>'Reg Output - Commissioned'!M23/30</f>
        <v/>
      </c>
      <c r="O227" s="44">
        <f>'Reg Output - Commissioned'!M23/30</f>
        <v/>
      </c>
      <c r="P227" s="44">
        <f>'Reg Output - Commissioned'!M23/30</f>
        <v/>
      </c>
    </row>
    <row r="228">
      <c r="A228" s="17" t="inlineStr">
        <is>
          <t xml:space="preserve">    Vintage FY2031E</t>
        </is>
      </c>
      <c r="B228" s="26" t="n">
        <v>0</v>
      </c>
      <c r="C228" s="26" t="n">
        <v>0</v>
      </c>
      <c r="D228" s="26" t="n">
        <v>0</v>
      </c>
      <c r="E228" s="26" t="n">
        <v>0</v>
      </c>
      <c r="F228" s="26" t="n">
        <v>0</v>
      </c>
      <c r="G228" s="44" t="n">
        <v>0</v>
      </c>
      <c r="H228" s="44" t="n">
        <v>0</v>
      </c>
      <c r="I228" s="44" t="n">
        <v>0</v>
      </c>
      <c r="J228" s="44" t="n">
        <v>0</v>
      </c>
      <c r="K228" s="44" t="n">
        <v>0</v>
      </c>
      <c r="L228" s="44" t="n">
        <v>0</v>
      </c>
      <c r="M228" s="44" t="n">
        <v>0</v>
      </c>
      <c r="N228" s="44">
        <f>'Reg Output - Commissioned'!N23/30</f>
        <v/>
      </c>
      <c r="O228" s="44">
        <f>'Reg Output - Commissioned'!N23/30</f>
        <v/>
      </c>
      <c r="P228" s="44">
        <f>'Reg Output - Commissioned'!N23/30</f>
        <v/>
      </c>
    </row>
    <row r="229">
      <c r="A229" s="17" t="inlineStr">
        <is>
          <t xml:space="preserve">    Vintage FY2032E</t>
        </is>
      </c>
      <c r="B229" s="26" t="n">
        <v>0</v>
      </c>
      <c r="C229" s="26" t="n">
        <v>0</v>
      </c>
      <c r="D229" s="26" t="n">
        <v>0</v>
      </c>
      <c r="E229" s="26" t="n">
        <v>0</v>
      </c>
      <c r="F229" s="26" t="n">
        <v>0</v>
      </c>
      <c r="G229" s="44" t="n">
        <v>0</v>
      </c>
      <c r="H229" s="44" t="n">
        <v>0</v>
      </c>
      <c r="I229" s="44" t="n">
        <v>0</v>
      </c>
      <c r="J229" s="44" t="n">
        <v>0</v>
      </c>
      <c r="K229" s="44" t="n">
        <v>0</v>
      </c>
      <c r="L229" s="44" t="n">
        <v>0</v>
      </c>
      <c r="M229" s="44" t="n">
        <v>0</v>
      </c>
      <c r="N229" s="44" t="n">
        <v>0</v>
      </c>
      <c r="O229" s="44">
        <f>'Reg Output - Commissioned'!O23/30</f>
        <v/>
      </c>
      <c r="P229" s="44">
        <f>'Reg Output - Commissioned'!O23/30</f>
        <v/>
      </c>
    </row>
    <row r="230">
      <c r="A230" s="17" t="inlineStr">
        <is>
          <t xml:space="preserve">    Vintage FY2033E</t>
        </is>
      </c>
      <c r="B230" s="26" t="n">
        <v>0</v>
      </c>
      <c r="C230" s="26" t="n">
        <v>0</v>
      </c>
      <c r="D230" s="26" t="n">
        <v>0</v>
      </c>
      <c r="E230" s="26" t="n">
        <v>0</v>
      </c>
      <c r="F230" s="26" t="n">
        <v>0</v>
      </c>
      <c r="G230" s="44" t="n">
        <v>0</v>
      </c>
      <c r="H230" s="44" t="n">
        <v>0</v>
      </c>
      <c r="I230" s="44" t="n">
        <v>0</v>
      </c>
      <c r="J230" s="44" t="n">
        <v>0</v>
      </c>
      <c r="K230" s="44" t="n">
        <v>0</v>
      </c>
      <c r="L230" s="44" t="n">
        <v>0</v>
      </c>
      <c r="M230" s="44" t="n">
        <v>0</v>
      </c>
      <c r="N230" s="44" t="n">
        <v>0</v>
      </c>
      <c r="O230" s="44" t="n">
        <v>0</v>
      </c>
      <c r="P230" s="44">
        <f>'Reg Output - Commissioned'!P23/30</f>
        <v/>
      </c>
    </row>
    <row r="231">
      <c r="A231" s="17" t="inlineStr">
        <is>
          <t xml:space="preserve">    AC19 Total Depn</t>
        </is>
      </c>
      <c r="B231" s="43">
        <f>SUM(B221:B230)</f>
        <v/>
      </c>
      <c r="C231" s="43">
        <f>SUM(C221:C230)</f>
        <v/>
      </c>
      <c r="D231" s="43">
        <f>SUM(D221:D230)</f>
        <v/>
      </c>
      <c r="E231" s="43">
        <f>SUM(E221:E230)</f>
        <v/>
      </c>
      <c r="F231" s="43">
        <f>SUM(F221:F230)</f>
        <v/>
      </c>
      <c r="G231" s="43">
        <f>SUM(G221:G230)</f>
        <v/>
      </c>
      <c r="H231" s="43">
        <f>SUM(H221:H230)</f>
        <v/>
      </c>
      <c r="I231" s="43">
        <f>SUM(I221:I230)</f>
        <v/>
      </c>
      <c r="J231" s="43">
        <f>SUM(J221:J230)</f>
        <v/>
      </c>
      <c r="K231" s="43">
        <f>SUM(K221:K230)</f>
        <v/>
      </c>
      <c r="L231" s="43">
        <f>SUM(L221:L230)</f>
        <v/>
      </c>
      <c r="M231" s="43">
        <f>SUM(M221:M230)</f>
        <v/>
      </c>
      <c r="N231" s="43">
        <f>SUM(N221:N230)</f>
        <v/>
      </c>
      <c r="O231" s="43">
        <f>SUM(O221:O230)</f>
        <v/>
      </c>
      <c r="P231" s="43">
        <f>SUM(P221:P230)</f>
        <v/>
      </c>
    </row>
    <row r="232">
      <c r="A232" s="15" t="inlineStr">
        <is>
          <t>AC20  Placeholder AC20  |  Useful Life: 30yr</t>
        </is>
      </c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</row>
    <row r="233">
      <c r="A233" s="17" t="inlineStr">
        <is>
          <t xml:space="preserve">    Vintage FY2024E</t>
        </is>
      </c>
      <c r="B233" s="26" t="n">
        <v>0</v>
      </c>
      <c r="C233" s="26" t="n">
        <v>0</v>
      </c>
      <c r="D233" s="26" t="n">
        <v>0</v>
      </c>
      <c r="E233" s="26" t="n">
        <v>0</v>
      </c>
      <c r="F233" s="26" t="n">
        <v>0</v>
      </c>
      <c r="G233" s="44">
        <f>'Reg Output - Commissioned'!G24/30</f>
        <v/>
      </c>
      <c r="H233" s="44">
        <f>'Reg Output - Commissioned'!G24/30</f>
        <v/>
      </c>
      <c r="I233" s="44">
        <f>'Reg Output - Commissioned'!G24/30</f>
        <v/>
      </c>
      <c r="J233" s="44">
        <f>'Reg Output - Commissioned'!G24/30</f>
        <v/>
      </c>
      <c r="K233" s="44">
        <f>'Reg Output - Commissioned'!G24/30</f>
        <v/>
      </c>
      <c r="L233" s="44">
        <f>'Reg Output - Commissioned'!G24/30</f>
        <v/>
      </c>
      <c r="M233" s="44">
        <f>'Reg Output - Commissioned'!G24/30</f>
        <v/>
      </c>
      <c r="N233" s="44">
        <f>'Reg Output - Commissioned'!G24/30</f>
        <v/>
      </c>
      <c r="O233" s="44">
        <f>'Reg Output - Commissioned'!G24/30</f>
        <v/>
      </c>
      <c r="P233" s="44">
        <f>'Reg Output - Commissioned'!G24/30</f>
        <v/>
      </c>
    </row>
    <row r="234">
      <c r="A234" s="17" t="inlineStr">
        <is>
          <t xml:space="preserve">    Vintage FY2025E</t>
        </is>
      </c>
      <c r="B234" s="26" t="n">
        <v>0</v>
      </c>
      <c r="C234" s="26" t="n">
        <v>0</v>
      </c>
      <c r="D234" s="26" t="n">
        <v>0</v>
      </c>
      <c r="E234" s="26" t="n">
        <v>0</v>
      </c>
      <c r="F234" s="26" t="n">
        <v>0</v>
      </c>
      <c r="G234" s="44" t="n">
        <v>0</v>
      </c>
      <c r="H234" s="44">
        <f>'Reg Output - Commissioned'!H24/30</f>
        <v/>
      </c>
      <c r="I234" s="44">
        <f>'Reg Output - Commissioned'!H24/30</f>
        <v/>
      </c>
      <c r="J234" s="44">
        <f>'Reg Output - Commissioned'!H24/30</f>
        <v/>
      </c>
      <c r="K234" s="44">
        <f>'Reg Output - Commissioned'!H24/30</f>
        <v/>
      </c>
      <c r="L234" s="44">
        <f>'Reg Output - Commissioned'!H24/30</f>
        <v/>
      </c>
      <c r="M234" s="44">
        <f>'Reg Output - Commissioned'!H24/30</f>
        <v/>
      </c>
      <c r="N234" s="44">
        <f>'Reg Output - Commissioned'!H24/30</f>
        <v/>
      </c>
      <c r="O234" s="44">
        <f>'Reg Output - Commissioned'!H24/30</f>
        <v/>
      </c>
      <c r="P234" s="44">
        <f>'Reg Output - Commissioned'!H24/30</f>
        <v/>
      </c>
    </row>
    <row r="235">
      <c r="A235" s="17" t="inlineStr">
        <is>
          <t xml:space="preserve">    Vintage FY2026E</t>
        </is>
      </c>
      <c r="B235" s="26" t="n">
        <v>0</v>
      </c>
      <c r="C235" s="26" t="n">
        <v>0</v>
      </c>
      <c r="D235" s="26" t="n">
        <v>0</v>
      </c>
      <c r="E235" s="26" t="n">
        <v>0</v>
      </c>
      <c r="F235" s="26" t="n">
        <v>0</v>
      </c>
      <c r="G235" s="44" t="n">
        <v>0</v>
      </c>
      <c r="H235" s="44" t="n">
        <v>0</v>
      </c>
      <c r="I235" s="44">
        <f>'Reg Output - Commissioned'!I24/30</f>
        <v/>
      </c>
      <c r="J235" s="44">
        <f>'Reg Output - Commissioned'!I24/30</f>
        <v/>
      </c>
      <c r="K235" s="44">
        <f>'Reg Output - Commissioned'!I24/30</f>
        <v/>
      </c>
      <c r="L235" s="44">
        <f>'Reg Output - Commissioned'!I24/30</f>
        <v/>
      </c>
      <c r="M235" s="44">
        <f>'Reg Output - Commissioned'!I24/30</f>
        <v/>
      </c>
      <c r="N235" s="44">
        <f>'Reg Output - Commissioned'!I24/30</f>
        <v/>
      </c>
      <c r="O235" s="44">
        <f>'Reg Output - Commissioned'!I24/30</f>
        <v/>
      </c>
      <c r="P235" s="44">
        <f>'Reg Output - Commissioned'!I24/30</f>
        <v/>
      </c>
    </row>
    <row r="236">
      <c r="A236" s="17" t="inlineStr">
        <is>
          <t xml:space="preserve">    Vintage FY2027E</t>
        </is>
      </c>
      <c r="B236" s="26" t="n">
        <v>0</v>
      </c>
      <c r="C236" s="26" t="n">
        <v>0</v>
      </c>
      <c r="D236" s="26" t="n">
        <v>0</v>
      </c>
      <c r="E236" s="26" t="n">
        <v>0</v>
      </c>
      <c r="F236" s="26" t="n">
        <v>0</v>
      </c>
      <c r="G236" s="44" t="n">
        <v>0</v>
      </c>
      <c r="H236" s="44" t="n">
        <v>0</v>
      </c>
      <c r="I236" s="44" t="n">
        <v>0</v>
      </c>
      <c r="J236" s="44">
        <f>'Reg Output - Commissioned'!J24/30</f>
        <v/>
      </c>
      <c r="K236" s="44">
        <f>'Reg Output - Commissioned'!J24/30</f>
        <v/>
      </c>
      <c r="L236" s="44">
        <f>'Reg Output - Commissioned'!J24/30</f>
        <v/>
      </c>
      <c r="M236" s="44">
        <f>'Reg Output - Commissioned'!J24/30</f>
        <v/>
      </c>
      <c r="N236" s="44">
        <f>'Reg Output - Commissioned'!J24/30</f>
        <v/>
      </c>
      <c r="O236" s="44">
        <f>'Reg Output - Commissioned'!J24/30</f>
        <v/>
      </c>
      <c r="P236" s="44">
        <f>'Reg Output - Commissioned'!J24/30</f>
        <v/>
      </c>
    </row>
    <row r="237">
      <c r="A237" s="17" t="inlineStr">
        <is>
          <t xml:space="preserve">    Vintage FY2028E</t>
        </is>
      </c>
      <c r="B237" s="26" t="n">
        <v>0</v>
      </c>
      <c r="C237" s="26" t="n">
        <v>0</v>
      </c>
      <c r="D237" s="26" t="n">
        <v>0</v>
      </c>
      <c r="E237" s="26" t="n">
        <v>0</v>
      </c>
      <c r="F237" s="26" t="n">
        <v>0</v>
      </c>
      <c r="G237" s="44" t="n">
        <v>0</v>
      </c>
      <c r="H237" s="44" t="n">
        <v>0</v>
      </c>
      <c r="I237" s="44" t="n">
        <v>0</v>
      </c>
      <c r="J237" s="44" t="n">
        <v>0</v>
      </c>
      <c r="K237" s="44">
        <f>'Reg Output - Commissioned'!K24/30</f>
        <v/>
      </c>
      <c r="L237" s="44">
        <f>'Reg Output - Commissioned'!K24/30</f>
        <v/>
      </c>
      <c r="M237" s="44">
        <f>'Reg Output - Commissioned'!K24/30</f>
        <v/>
      </c>
      <c r="N237" s="44">
        <f>'Reg Output - Commissioned'!K24/30</f>
        <v/>
      </c>
      <c r="O237" s="44">
        <f>'Reg Output - Commissioned'!K24/30</f>
        <v/>
      </c>
      <c r="P237" s="44">
        <f>'Reg Output - Commissioned'!K24/30</f>
        <v/>
      </c>
    </row>
    <row r="238">
      <c r="A238" s="17" t="inlineStr">
        <is>
          <t xml:space="preserve">    Vintage FY2029E</t>
        </is>
      </c>
      <c r="B238" s="26" t="n">
        <v>0</v>
      </c>
      <c r="C238" s="26" t="n">
        <v>0</v>
      </c>
      <c r="D238" s="26" t="n">
        <v>0</v>
      </c>
      <c r="E238" s="26" t="n">
        <v>0</v>
      </c>
      <c r="F238" s="26" t="n">
        <v>0</v>
      </c>
      <c r="G238" s="44" t="n">
        <v>0</v>
      </c>
      <c r="H238" s="44" t="n">
        <v>0</v>
      </c>
      <c r="I238" s="44" t="n">
        <v>0</v>
      </c>
      <c r="J238" s="44" t="n">
        <v>0</v>
      </c>
      <c r="K238" s="44" t="n">
        <v>0</v>
      </c>
      <c r="L238" s="44">
        <f>'Reg Output - Commissioned'!L24/30</f>
        <v/>
      </c>
      <c r="M238" s="44">
        <f>'Reg Output - Commissioned'!L24/30</f>
        <v/>
      </c>
      <c r="N238" s="44">
        <f>'Reg Output - Commissioned'!L24/30</f>
        <v/>
      </c>
      <c r="O238" s="44">
        <f>'Reg Output - Commissioned'!L24/30</f>
        <v/>
      </c>
      <c r="P238" s="44">
        <f>'Reg Output - Commissioned'!L24/30</f>
        <v/>
      </c>
    </row>
    <row r="239">
      <c r="A239" s="17" t="inlineStr">
        <is>
          <t xml:space="preserve">    Vintage FY2030E</t>
        </is>
      </c>
      <c r="B239" s="26" t="n">
        <v>0</v>
      </c>
      <c r="C239" s="26" t="n">
        <v>0</v>
      </c>
      <c r="D239" s="26" t="n">
        <v>0</v>
      </c>
      <c r="E239" s="26" t="n">
        <v>0</v>
      </c>
      <c r="F239" s="26" t="n">
        <v>0</v>
      </c>
      <c r="G239" s="44" t="n">
        <v>0</v>
      </c>
      <c r="H239" s="44" t="n">
        <v>0</v>
      </c>
      <c r="I239" s="44" t="n">
        <v>0</v>
      </c>
      <c r="J239" s="44" t="n">
        <v>0</v>
      </c>
      <c r="K239" s="44" t="n">
        <v>0</v>
      </c>
      <c r="L239" s="44" t="n">
        <v>0</v>
      </c>
      <c r="M239" s="44">
        <f>'Reg Output - Commissioned'!M24/30</f>
        <v/>
      </c>
      <c r="N239" s="44">
        <f>'Reg Output - Commissioned'!M24/30</f>
        <v/>
      </c>
      <c r="O239" s="44">
        <f>'Reg Output - Commissioned'!M24/30</f>
        <v/>
      </c>
      <c r="P239" s="44">
        <f>'Reg Output - Commissioned'!M24/30</f>
        <v/>
      </c>
    </row>
    <row r="240">
      <c r="A240" s="17" t="inlineStr">
        <is>
          <t xml:space="preserve">    Vintage FY2031E</t>
        </is>
      </c>
      <c r="B240" s="26" t="n">
        <v>0</v>
      </c>
      <c r="C240" s="26" t="n">
        <v>0</v>
      </c>
      <c r="D240" s="26" t="n">
        <v>0</v>
      </c>
      <c r="E240" s="26" t="n">
        <v>0</v>
      </c>
      <c r="F240" s="26" t="n">
        <v>0</v>
      </c>
      <c r="G240" s="44" t="n">
        <v>0</v>
      </c>
      <c r="H240" s="44" t="n">
        <v>0</v>
      </c>
      <c r="I240" s="44" t="n">
        <v>0</v>
      </c>
      <c r="J240" s="44" t="n">
        <v>0</v>
      </c>
      <c r="K240" s="44" t="n">
        <v>0</v>
      </c>
      <c r="L240" s="44" t="n">
        <v>0</v>
      </c>
      <c r="M240" s="44" t="n">
        <v>0</v>
      </c>
      <c r="N240" s="44">
        <f>'Reg Output - Commissioned'!N24/30</f>
        <v/>
      </c>
      <c r="O240" s="44">
        <f>'Reg Output - Commissioned'!N24/30</f>
        <v/>
      </c>
      <c r="P240" s="44">
        <f>'Reg Output - Commissioned'!N24/30</f>
        <v/>
      </c>
    </row>
    <row r="241">
      <c r="A241" s="17" t="inlineStr">
        <is>
          <t xml:space="preserve">    Vintage FY2032E</t>
        </is>
      </c>
      <c r="B241" s="26" t="n">
        <v>0</v>
      </c>
      <c r="C241" s="26" t="n">
        <v>0</v>
      </c>
      <c r="D241" s="26" t="n">
        <v>0</v>
      </c>
      <c r="E241" s="26" t="n">
        <v>0</v>
      </c>
      <c r="F241" s="26" t="n">
        <v>0</v>
      </c>
      <c r="G241" s="44" t="n">
        <v>0</v>
      </c>
      <c r="H241" s="44" t="n">
        <v>0</v>
      </c>
      <c r="I241" s="44" t="n">
        <v>0</v>
      </c>
      <c r="J241" s="44" t="n">
        <v>0</v>
      </c>
      <c r="K241" s="44" t="n">
        <v>0</v>
      </c>
      <c r="L241" s="44" t="n">
        <v>0</v>
      </c>
      <c r="M241" s="44" t="n">
        <v>0</v>
      </c>
      <c r="N241" s="44" t="n">
        <v>0</v>
      </c>
      <c r="O241" s="44">
        <f>'Reg Output - Commissioned'!O24/30</f>
        <v/>
      </c>
      <c r="P241" s="44">
        <f>'Reg Output - Commissioned'!O24/30</f>
        <v/>
      </c>
    </row>
    <row r="242">
      <c r="A242" s="17" t="inlineStr">
        <is>
          <t xml:space="preserve">    Vintage FY2033E</t>
        </is>
      </c>
      <c r="B242" s="26" t="n">
        <v>0</v>
      </c>
      <c r="C242" s="26" t="n">
        <v>0</v>
      </c>
      <c r="D242" s="26" t="n">
        <v>0</v>
      </c>
      <c r="E242" s="26" t="n">
        <v>0</v>
      </c>
      <c r="F242" s="26" t="n">
        <v>0</v>
      </c>
      <c r="G242" s="44" t="n">
        <v>0</v>
      </c>
      <c r="H242" s="44" t="n">
        <v>0</v>
      </c>
      <c r="I242" s="44" t="n">
        <v>0</v>
      </c>
      <c r="J242" s="44" t="n">
        <v>0</v>
      </c>
      <c r="K242" s="44" t="n">
        <v>0</v>
      </c>
      <c r="L242" s="44" t="n">
        <v>0</v>
      </c>
      <c r="M242" s="44" t="n">
        <v>0</v>
      </c>
      <c r="N242" s="44" t="n">
        <v>0</v>
      </c>
      <c r="O242" s="44" t="n">
        <v>0</v>
      </c>
      <c r="P242" s="44">
        <f>'Reg Output - Commissioned'!P24/30</f>
        <v/>
      </c>
    </row>
    <row r="243">
      <c r="A243" s="17" t="inlineStr">
        <is>
          <t xml:space="preserve">    AC20 Total Depn</t>
        </is>
      </c>
      <c r="B243" s="43">
        <f>SUM(B233:B242)</f>
        <v/>
      </c>
      <c r="C243" s="43">
        <f>SUM(C233:C242)</f>
        <v/>
      </c>
      <c r="D243" s="43">
        <f>SUM(D233:D242)</f>
        <v/>
      </c>
      <c r="E243" s="43">
        <f>SUM(E233:E242)</f>
        <v/>
      </c>
      <c r="F243" s="43">
        <f>SUM(F233:F242)</f>
        <v/>
      </c>
      <c r="G243" s="43">
        <f>SUM(G233:G242)</f>
        <v/>
      </c>
      <c r="H243" s="43">
        <f>SUM(H233:H242)</f>
        <v/>
      </c>
      <c r="I243" s="43">
        <f>SUM(I233:I242)</f>
        <v/>
      </c>
      <c r="J243" s="43">
        <f>SUM(J233:J242)</f>
        <v/>
      </c>
      <c r="K243" s="43">
        <f>SUM(K233:K242)</f>
        <v/>
      </c>
      <c r="L243" s="43">
        <f>SUM(L233:L242)</f>
        <v/>
      </c>
      <c r="M243" s="43">
        <f>SUM(M233:M242)</f>
        <v/>
      </c>
      <c r="N243" s="43">
        <f>SUM(N233:N242)</f>
        <v/>
      </c>
      <c r="O243" s="43">
        <f>SUM(O233:O242)</f>
        <v/>
      </c>
      <c r="P243" s="43">
        <f>SUM(P233:P242)</f>
        <v/>
      </c>
    </row>
    <row r="244">
      <c r="A244" s="15" t="inlineStr">
        <is>
          <t>AC21  Placeholder AC21  |  Useful Life: 30yr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>
      <c r="A245" s="17" t="inlineStr">
        <is>
          <t xml:space="preserve">    Vintage FY2024E</t>
        </is>
      </c>
      <c r="B245" s="26" t="n">
        <v>0</v>
      </c>
      <c r="C245" s="26" t="n">
        <v>0</v>
      </c>
      <c r="D245" s="26" t="n">
        <v>0</v>
      </c>
      <c r="E245" s="26" t="n">
        <v>0</v>
      </c>
      <c r="F245" s="26" t="n">
        <v>0</v>
      </c>
      <c r="G245" s="44">
        <f>'Reg Output - Commissioned'!G25/30</f>
        <v/>
      </c>
      <c r="H245" s="44">
        <f>'Reg Output - Commissioned'!G25/30</f>
        <v/>
      </c>
      <c r="I245" s="44">
        <f>'Reg Output - Commissioned'!G25/30</f>
        <v/>
      </c>
      <c r="J245" s="44">
        <f>'Reg Output - Commissioned'!G25/30</f>
        <v/>
      </c>
      <c r="K245" s="44">
        <f>'Reg Output - Commissioned'!G25/30</f>
        <v/>
      </c>
      <c r="L245" s="44">
        <f>'Reg Output - Commissioned'!G25/30</f>
        <v/>
      </c>
      <c r="M245" s="44">
        <f>'Reg Output - Commissioned'!G25/30</f>
        <v/>
      </c>
      <c r="N245" s="44">
        <f>'Reg Output - Commissioned'!G25/30</f>
        <v/>
      </c>
      <c r="O245" s="44">
        <f>'Reg Output - Commissioned'!G25/30</f>
        <v/>
      </c>
      <c r="P245" s="44">
        <f>'Reg Output - Commissioned'!G25/30</f>
        <v/>
      </c>
    </row>
    <row r="246">
      <c r="A246" s="17" t="inlineStr">
        <is>
          <t xml:space="preserve">    Vintage FY2025E</t>
        </is>
      </c>
      <c r="B246" s="26" t="n">
        <v>0</v>
      </c>
      <c r="C246" s="26" t="n">
        <v>0</v>
      </c>
      <c r="D246" s="26" t="n">
        <v>0</v>
      </c>
      <c r="E246" s="26" t="n">
        <v>0</v>
      </c>
      <c r="F246" s="26" t="n">
        <v>0</v>
      </c>
      <c r="G246" s="44" t="n">
        <v>0</v>
      </c>
      <c r="H246" s="44">
        <f>'Reg Output - Commissioned'!H25/30</f>
        <v/>
      </c>
      <c r="I246" s="44">
        <f>'Reg Output - Commissioned'!H25/30</f>
        <v/>
      </c>
      <c r="J246" s="44">
        <f>'Reg Output - Commissioned'!H25/30</f>
        <v/>
      </c>
      <c r="K246" s="44">
        <f>'Reg Output - Commissioned'!H25/30</f>
        <v/>
      </c>
      <c r="L246" s="44">
        <f>'Reg Output - Commissioned'!H25/30</f>
        <v/>
      </c>
      <c r="M246" s="44">
        <f>'Reg Output - Commissioned'!H25/30</f>
        <v/>
      </c>
      <c r="N246" s="44">
        <f>'Reg Output - Commissioned'!H25/30</f>
        <v/>
      </c>
      <c r="O246" s="44">
        <f>'Reg Output - Commissioned'!H25/30</f>
        <v/>
      </c>
      <c r="P246" s="44">
        <f>'Reg Output - Commissioned'!H25/30</f>
        <v/>
      </c>
    </row>
    <row r="247">
      <c r="A247" s="17" t="inlineStr">
        <is>
          <t xml:space="preserve">    Vintage FY2026E</t>
        </is>
      </c>
      <c r="B247" s="26" t="n">
        <v>0</v>
      </c>
      <c r="C247" s="26" t="n">
        <v>0</v>
      </c>
      <c r="D247" s="26" t="n">
        <v>0</v>
      </c>
      <c r="E247" s="26" t="n">
        <v>0</v>
      </c>
      <c r="F247" s="26" t="n">
        <v>0</v>
      </c>
      <c r="G247" s="44" t="n">
        <v>0</v>
      </c>
      <c r="H247" s="44" t="n">
        <v>0</v>
      </c>
      <c r="I247" s="44">
        <f>'Reg Output - Commissioned'!I25/30</f>
        <v/>
      </c>
      <c r="J247" s="44">
        <f>'Reg Output - Commissioned'!I25/30</f>
        <v/>
      </c>
      <c r="K247" s="44">
        <f>'Reg Output - Commissioned'!I25/30</f>
        <v/>
      </c>
      <c r="L247" s="44">
        <f>'Reg Output - Commissioned'!I25/30</f>
        <v/>
      </c>
      <c r="M247" s="44">
        <f>'Reg Output - Commissioned'!I25/30</f>
        <v/>
      </c>
      <c r="N247" s="44">
        <f>'Reg Output - Commissioned'!I25/30</f>
        <v/>
      </c>
      <c r="O247" s="44">
        <f>'Reg Output - Commissioned'!I25/30</f>
        <v/>
      </c>
      <c r="P247" s="44">
        <f>'Reg Output - Commissioned'!I25/30</f>
        <v/>
      </c>
    </row>
    <row r="248">
      <c r="A248" s="17" t="inlineStr">
        <is>
          <t xml:space="preserve">    Vintage FY2027E</t>
        </is>
      </c>
      <c r="B248" s="26" t="n">
        <v>0</v>
      </c>
      <c r="C248" s="26" t="n">
        <v>0</v>
      </c>
      <c r="D248" s="26" t="n">
        <v>0</v>
      </c>
      <c r="E248" s="26" t="n">
        <v>0</v>
      </c>
      <c r="F248" s="26" t="n">
        <v>0</v>
      </c>
      <c r="G248" s="44" t="n">
        <v>0</v>
      </c>
      <c r="H248" s="44" t="n">
        <v>0</v>
      </c>
      <c r="I248" s="44" t="n">
        <v>0</v>
      </c>
      <c r="J248" s="44">
        <f>'Reg Output - Commissioned'!J25/30</f>
        <v/>
      </c>
      <c r="K248" s="44">
        <f>'Reg Output - Commissioned'!J25/30</f>
        <v/>
      </c>
      <c r="L248" s="44">
        <f>'Reg Output - Commissioned'!J25/30</f>
        <v/>
      </c>
      <c r="M248" s="44">
        <f>'Reg Output - Commissioned'!J25/30</f>
        <v/>
      </c>
      <c r="N248" s="44">
        <f>'Reg Output - Commissioned'!J25/30</f>
        <v/>
      </c>
      <c r="O248" s="44">
        <f>'Reg Output - Commissioned'!J25/30</f>
        <v/>
      </c>
      <c r="P248" s="44">
        <f>'Reg Output - Commissioned'!J25/30</f>
        <v/>
      </c>
    </row>
    <row r="249">
      <c r="A249" s="17" t="inlineStr">
        <is>
          <t xml:space="preserve">    Vintage FY2028E</t>
        </is>
      </c>
      <c r="B249" s="26" t="n">
        <v>0</v>
      </c>
      <c r="C249" s="26" t="n">
        <v>0</v>
      </c>
      <c r="D249" s="26" t="n">
        <v>0</v>
      </c>
      <c r="E249" s="26" t="n">
        <v>0</v>
      </c>
      <c r="F249" s="26" t="n">
        <v>0</v>
      </c>
      <c r="G249" s="44" t="n">
        <v>0</v>
      </c>
      <c r="H249" s="44" t="n">
        <v>0</v>
      </c>
      <c r="I249" s="44" t="n">
        <v>0</v>
      </c>
      <c r="J249" s="44" t="n">
        <v>0</v>
      </c>
      <c r="K249" s="44">
        <f>'Reg Output - Commissioned'!K25/30</f>
        <v/>
      </c>
      <c r="L249" s="44">
        <f>'Reg Output - Commissioned'!K25/30</f>
        <v/>
      </c>
      <c r="M249" s="44">
        <f>'Reg Output - Commissioned'!K25/30</f>
        <v/>
      </c>
      <c r="N249" s="44">
        <f>'Reg Output - Commissioned'!K25/30</f>
        <v/>
      </c>
      <c r="O249" s="44">
        <f>'Reg Output - Commissioned'!K25/30</f>
        <v/>
      </c>
      <c r="P249" s="44">
        <f>'Reg Output - Commissioned'!K25/30</f>
        <v/>
      </c>
    </row>
    <row r="250">
      <c r="A250" s="17" t="inlineStr">
        <is>
          <t xml:space="preserve">    Vintage FY2029E</t>
        </is>
      </c>
      <c r="B250" s="26" t="n">
        <v>0</v>
      </c>
      <c r="C250" s="26" t="n">
        <v>0</v>
      </c>
      <c r="D250" s="26" t="n">
        <v>0</v>
      </c>
      <c r="E250" s="26" t="n">
        <v>0</v>
      </c>
      <c r="F250" s="26" t="n">
        <v>0</v>
      </c>
      <c r="G250" s="44" t="n">
        <v>0</v>
      </c>
      <c r="H250" s="44" t="n">
        <v>0</v>
      </c>
      <c r="I250" s="44" t="n">
        <v>0</v>
      </c>
      <c r="J250" s="44" t="n">
        <v>0</v>
      </c>
      <c r="K250" s="44" t="n">
        <v>0</v>
      </c>
      <c r="L250" s="44">
        <f>'Reg Output - Commissioned'!L25/30</f>
        <v/>
      </c>
      <c r="M250" s="44">
        <f>'Reg Output - Commissioned'!L25/30</f>
        <v/>
      </c>
      <c r="N250" s="44">
        <f>'Reg Output - Commissioned'!L25/30</f>
        <v/>
      </c>
      <c r="O250" s="44">
        <f>'Reg Output - Commissioned'!L25/30</f>
        <v/>
      </c>
      <c r="P250" s="44">
        <f>'Reg Output - Commissioned'!L25/30</f>
        <v/>
      </c>
    </row>
    <row r="251">
      <c r="A251" s="17" t="inlineStr">
        <is>
          <t xml:space="preserve">    Vintage FY2030E</t>
        </is>
      </c>
      <c r="B251" s="26" t="n">
        <v>0</v>
      </c>
      <c r="C251" s="26" t="n">
        <v>0</v>
      </c>
      <c r="D251" s="26" t="n">
        <v>0</v>
      </c>
      <c r="E251" s="26" t="n">
        <v>0</v>
      </c>
      <c r="F251" s="26" t="n">
        <v>0</v>
      </c>
      <c r="G251" s="44" t="n">
        <v>0</v>
      </c>
      <c r="H251" s="44" t="n">
        <v>0</v>
      </c>
      <c r="I251" s="44" t="n">
        <v>0</v>
      </c>
      <c r="J251" s="44" t="n">
        <v>0</v>
      </c>
      <c r="K251" s="44" t="n">
        <v>0</v>
      </c>
      <c r="L251" s="44" t="n">
        <v>0</v>
      </c>
      <c r="M251" s="44">
        <f>'Reg Output - Commissioned'!M25/30</f>
        <v/>
      </c>
      <c r="N251" s="44">
        <f>'Reg Output - Commissioned'!M25/30</f>
        <v/>
      </c>
      <c r="O251" s="44">
        <f>'Reg Output - Commissioned'!M25/30</f>
        <v/>
      </c>
      <c r="P251" s="44">
        <f>'Reg Output - Commissioned'!M25/30</f>
        <v/>
      </c>
    </row>
    <row r="252">
      <c r="A252" s="17" t="inlineStr">
        <is>
          <t xml:space="preserve">    Vintage FY2031E</t>
        </is>
      </c>
      <c r="B252" s="26" t="n">
        <v>0</v>
      </c>
      <c r="C252" s="26" t="n">
        <v>0</v>
      </c>
      <c r="D252" s="26" t="n">
        <v>0</v>
      </c>
      <c r="E252" s="26" t="n">
        <v>0</v>
      </c>
      <c r="F252" s="26" t="n">
        <v>0</v>
      </c>
      <c r="G252" s="44" t="n">
        <v>0</v>
      </c>
      <c r="H252" s="44" t="n">
        <v>0</v>
      </c>
      <c r="I252" s="44" t="n">
        <v>0</v>
      </c>
      <c r="J252" s="44" t="n">
        <v>0</v>
      </c>
      <c r="K252" s="44" t="n">
        <v>0</v>
      </c>
      <c r="L252" s="44" t="n">
        <v>0</v>
      </c>
      <c r="M252" s="44" t="n">
        <v>0</v>
      </c>
      <c r="N252" s="44">
        <f>'Reg Output - Commissioned'!N25/30</f>
        <v/>
      </c>
      <c r="O252" s="44">
        <f>'Reg Output - Commissioned'!N25/30</f>
        <v/>
      </c>
      <c r="P252" s="44">
        <f>'Reg Output - Commissioned'!N25/30</f>
        <v/>
      </c>
    </row>
    <row r="253">
      <c r="A253" s="17" t="inlineStr">
        <is>
          <t xml:space="preserve">    Vintage FY2032E</t>
        </is>
      </c>
      <c r="B253" s="26" t="n">
        <v>0</v>
      </c>
      <c r="C253" s="26" t="n">
        <v>0</v>
      </c>
      <c r="D253" s="26" t="n">
        <v>0</v>
      </c>
      <c r="E253" s="26" t="n">
        <v>0</v>
      </c>
      <c r="F253" s="26" t="n">
        <v>0</v>
      </c>
      <c r="G253" s="44" t="n">
        <v>0</v>
      </c>
      <c r="H253" s="44" t="n">
        <v>0</v>
      </c>
      <c r="I253" s="44" t="n">
        <v>0</v>
      </c>
      <c r="J253" s="44" t="n">
        <v>0</v>
      </c>
      <c r="K253" s="44" t="n">
        <v>0</v>
      </c>
      <c r="L253" s="44" t="n">
        <v>0</v>
      </c>
      <c r="M253" s="44" t="n">
        <v>0</v>
      </c>
      <c r="N253" s="44" t="n">
        <v>0</v>
      </c>
      <c r="O253" s="44">
        <f>'Reg Output - Commissioned'!O25/30</f>
        <v/>
      </c>
      <c r="P253" s="44">
        <f>'Reg Output - Commissioned'!O25/30</f>
        <v/>
      </c>
    </row>
    <row r="254">
      <c r="A254" s="17" t="inlineStr">
        <is>
          <t xml:space="preserve">    Vintage FY2033E</t>
        </is>
      </c>
      <c r="B254" s="26" t="n">
        <v>0</v>
      </c>
      <c r="C254" s="26" t="n">
        <v>0</v>
      </c>
      <c r="D254" s="26" t="n">
        <v>0</v>
      </c>
      <c r="E254" s="26" t="n">
        <v>0</v>
      </c>
      <c r="F254" s="26" t="n">
        <v>0</v>
      </c>
      <c r="G254" s="44" t="n">
        <v>0</v>
      </c>
      <c r="H254" s="44" t="n">
        <v>0</v>
      </c>
      <c r="I254" s="44" t="n">
        <v>0</v>
      </c>
      <c r="J254" s="44" t="n">
        <v>0</v>
      </c>
      <c r="K254" s="44" t="n">
        <v>0</v>
      </c>
      <c r="L254" s="44" t="n">
        <v>0</v>
      </c>
      <c r="M254" s="44" t="n">
        <v>0</v>
      </c>
      <c r="N254" s="44" t="n">
        <v>0</v>
      </c>
      <c r="O254" s="44" t="n">
        <v>0</v>
      </c>
      <c r="P254" s="44">
        <f>'Reg Output - Commissioned'!P25/30</f>
        <v/>
      </c>
    </row>
    <row r="255">
      <c r="A255" s="17" t="inlineStr">
        <is>
          <t xml:space="preserve">    AC21 Total Depn</t>
        </is>
      </c>
      <c r="B255" s="43">
        <f>SUM(B245:B254)</f>
        <v/>
      </c>
      <c r="C255" s="43">
        <f>SUM(C245:C254)</f>
        <v/>
      </c>
      <c r="D255" s="43">
        <f>SUM(D245:D254)</f>
        <v/>
      </c>
      <c r="E255" s="43">
        <f>SUM(E245:E254)</f>
        <v/>
      </c>
      <c r="F255" s="43">
        <f>SUM(F245:F254)</f>
        <v/>
      </c>
      <c r="G255" s="43">
        <f>SUM(G245:G254)</f>
        <v/>
      </c>
      <c r="H255" s="43">
        <f>SUM(H245:H254)</f>
        <v/>
      </c>
      <c r="I255" s="43">
        <f>SUM(I245:I254)</f>
        <v/>
      </c>
      <c r="J255" s="43">
        <f>SUM(J245:J254)</f>
        <v/>
      </c>
      <c r="K255" s="43">
        <f>SUM(K245:K254)</f>
        <v/>
      </c>
      <c r="L255" s="43">
        <f>SUM(L245:L254)</f>
        <v/>
      </c>
      <c r="M255" s="43">
        <f>SUM(M245:M254)</f>
        <v/>
      </c>
      <c r="N255" s="43">
        <f>SUM(N245:N254)</f>
        <v/>
      </c>
      <c r="O255" s="43">
        <f>SUM(O245:O254)</f>
        <v/>
      </c>
      <c r="P255" s="43">
        <f>SUM(P245:P254)</f>
        <v/>
      </c>
    </row>
    <row r="256">
      <c r="A256" s="15" t="inlineStr">
        <is>
          <t>AC22  Placeholder AC22  |  Useful Life: 30yr</t>
        </is>
      </c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</row>
    <row r="257">
      <c r="A257" s="17" t="inlineStr">
        <is>
          <t xml:space="preserve">    Vintage FY2024E</t>
        </is>
      </c>
      <c r="B257" s="26" t="n">
        <v>0</v>
      </c>
      <c r="C257" s="26" t="n">
        <v>0</v>
      </c>
      <c r="D257" s="26" t="n">
        <v>0</v>
      </c>
      <c r="E257" s="26" t="n">
        <v>0</v>
      </c>
      <c r="F257" s="26" t="n">
        <v>0</v>
      </c>
      <c r="G257" s="44">
        <f>'Reg Output - Commissioned'!G26/30</f>
        <v/>
      </c>
      <c r="H257" s="44">
        <f>'Reg Output - Commissioned'!G26/30</f>
        <v/>
      </c>
      <c r="I257" s="44">
        <f>'Reg Output - Commissioned'!G26/30</f>
        <v/>
      </c>
      <c r="J257" s="44">
        <f>'Reg Output - Commissioned'!G26/30</f>
        <v/>
      </c>
      <c r="K257" s="44">
        <f>'Reg Output - Commissioned'!G26/30</f>
        <v/>
      </c>
      <c r="L257" s="44">
        <f>'Reg Output - Commissioned'!G26/30</f>
        <v/>
      </c>
      <c r="M257" s="44">
        <f>'Reg Output - Commissioned'!G26/30</f>
        <v/>
      </c>
      <c r="N257" s="44">
        <f>'Reg Output - Commissioned'!G26/30</f>
        <v/>
      </c>
      <c r="O257" s="44">
        <f>'Reg Output - Commissioned'!G26/30</f>
        <v/>
      </c>
      <c r="P257" s="44">
        <f>'Reg Output - Commissioned'!G26/30</f>
        <v/>
      </c>
    </row>
    <row r="258">
      <c r="A258" s="17" t="inlineStr">
        <is>
          <t xml:space="preserve">    Vintage FY2025E</t>
        </is>
      </c>
      <c r="B258" s="26" t="n">
        <v>0</v>
      </c>
      <c r="C258" s="26" t="n">
        <v>0</v>
      </c>
      <c r="D258" s="26" t="n">
        <v>0</v>
      </c>
      <c r="E258" s="26" t="n">
        <v>0</v>
      </c>
      <c r="F258" s="26" t="n">
        <v>0</v>
      </c>
      <c r="G258" s="44" t="n">
        <v>0</v>
      </c>
      <c r="H258" s="44">
        <f>'Reg Output - Commissioned'!H26/30</f>
        <v/>
      </c>
      <c r="I258" s="44">
        <f>'Reg Output - Commissioned'!H26/30</f>
        <v/>
      </c>
      <c r="J258" s="44">
        <f>'Reg Output - Commissioned'!H26/30</f>
        <v/>
      </c>
      <c r="K258" s="44">
        <f>'Reg Output - Commissioned'!H26/30</f>
        <v/>
      </c>
      <c r="L258" s="44">
        <f>'Reg Output - Commissioned'!H26/30</f>
        <v/>
      </c>
      <c r="M258" s="44">
        <f>'Reg Output - Commissioned'!H26/30</f>
        <v/>
      </c>
      <c r="N258" s="44">
        <f>'Reg Output - Commissioned'!H26/30</f>
        <v/>
      </c>
      <c r="O258" s="44">
        <f>'Reg Output - Commissioned'!H26/30</f>
        <v/>
      </c>
      <c r="P258" s="44">
        <f>'Reg Output - Commissioned'!H26/30</f>
        <v/>
      </c>
    </row>
    <row r="259">
      <c r="A259" s="17" t="inlineStr">
        <is>
          <t xml:space="preserve">    Vintage FY2026E</t>
        </is>
      </c>
      <c r="B259" s="26" t="n">
        <v>0</v>
      </c>
      <c r="C259" s="26" t="n">
        <v>0</v>
      </c>
      <c r="D259" s="26" t="n">
        <v>0</v>
      </c>
      <c r="E259" s="26" t="n">
        <v>0</v>
      </c>
      <c r="F259" s="26" t="n">
        <v>0</v>
      </c>
      <c r="G259" s="44" t="n">
        <v>0</v>
      </c>
      <c r="H259" s="44" t="n">
        <v>0</v>
      </c>
      <c r="I259" s="44">
        <f>'Reg Output - Commissioned'!I26/30</f>
        <v/>
      </c>
      <c r="J259" s="44">
        <f>'Reg Output - Commissioned'!I26/30</f>
        <v/>
      </c>
      <c r="K259" s="44">
        <f>'Reg Output - Commissioned'!I26/30</f>
        <v/>
      </c>
      <c r="L259" s="44">
        <f>'Reg Output - Commissioned'!I26/30</f>
        <v/>
      </c>
      <c r="M259" s="44">
        <f>'Reg Output - Commissioned'!I26/30</f>
        <v/>
      </c>
      <c r="N259" s="44">
        <f>'Reg Output - Commissioned'!I26/30</f>
        <v/>
      </c>
      <c r="O259" s="44">
        <f>'Reg Output - Commissioned'!I26/30</f>
        <v/>
      </c>
      <c r="P259" s="44">
        <f>'Reg Output - Commissioned'!I26/30</f>
        <v/>
      </c>
    </row>
    <row r="260">
      <c r="A260" s="17" t="inlineStr">
        <is>
          <t xml:space="preserve">    Vintage FY2027E</t>
        </is>
      </c>
      <c r="B260" s="26" t="n">
        <v>0</v>
      </c>
      <c r="C260" s="26" t="n">
        <v>0</v>
      </c>
      <c r="D260" s="26" t="n">
        <v>0</v>
      </c>
      <c r="E260" s="26" t="n">
        <v>0</v>
      </c>
      <c r="F260" s="26" t="n">
        <v>0</v>
      </c>
      <c r="G260" s="44" t="n">
        <v>0</v>
      </c>
      <c r="H260" s="44" t="n">
        <v>0</v>
      </c>
      <c r="I260" s="44" t="n">
        <v>0</v>
      </c>
      <c r="J260" s="44">
        <f>'Reg Output - Commissioned'!J26/30</f>
        <v/>
      </c>
      <c r="K260" s="44">
        <f>'Reg Output - Commissioned'!J26/30</f>
        <v/>
      </c>
      <c r="L260" s="44">
        <f>'Reg Output - Commissioned'!J26/30</f>
        <v/>
      </c>
      <c r="M260" s="44">
        <f>'Reg Output - Commissioned'!J26/30</f>
        <v/>
      </c>
      <c r="N260" s="44">
        <f>'Reg Output - Commissioned'!J26/30</f>
        <v/>
      </c>
      <c r="O260" s="44">
        <f>'Reg Output - Commissioned'!J26/30</f>
        <v/>
      </c>
      <c r="P260" s="44">
        <f>'Reg Output - Commissioned'!J26/30</f>
        <v/>
      </c>
    </row>
    <row r="261">
      <c r="A261" s="17" t="inlineStr">
        <is>
          <t xml:space="preserve">    Vintage FY2028E</t>
        </is>
      </c>
      <c r="B261" s="26" t="n">
        <v>0</v>
      </c>
      <c r="C261" s="26" t="n">
        <v>0</v>
      </c>
      <c r="D261" s="26" t="n">
        <v>0</v>
      </c>
      <c r="E261" s="26" t="n">
        <v>0</v>
      </c>
      <c r="F261" s="26" t="n">
        <v>0</v>
      </c>
      <c r="G261" s="44" t="n">
        <v>0</v>
      </c>
      <c r="H261" s="44" t="n">
        <v>0</v>
      </c>
      <c r="I261" s="44" t="n">
        <v>0</v>
      </c>
      <c r="J261" s="44" t="n">
        <v>0</v>
      </c>
      <c r="K261" s="44">
        <f>'Reg Output - Commissioned'!K26/30</f>
        <v/>
      </c>
      <c r="L261" s="44">
        <f>'Reg Output - Commissioned'!K26/30</f>
        <v/>
      </c>
      <c r="M261" s="44">
        <f>'Reg Output - Commissioned'!K26/30</f>
        <v/>
      </c>
      <c r="N261" s="44">
        <f>'Reg Output - Commissioned'!K26/30</f>
        <v/>
      </c>
      <c r="O261" s="44">
        <f>'Reg Output - Commissioned'!K26/30</f>
        <v/>
      </c>
      <c r="P261" s="44">
        <f>'Reg Output - Commissioned'!K26/30</f>
        <v/>
      </c>
    </row>
    <row r="262">
      <c r="A262" s="17" t="inlineStr">
        <is>
          <t xml:space="preserve">    Vintage FY2029E</t>
        </is>
      </c>
      <c r="B262" s="26" t="n">
        <v>0</v>
      </c>
      <c r="C262" s="26" t="n">
        <v>0</v>
      </c>
      <c r="D262" s="26" t="n">
        <v>0</v>
      </c>
      <c r="E262" s="26" t="n">
        <v>0</v>
      </c>
      <c r="F262" s="26" t="n">
        <v>0</v>
      </c>
      <c r="G262" s="44" t="n">
        <v>0</v>
      </c>
      <c r="H262" s="44" t="n">
        <v>0</v>
      </c>
      <c r="I262" s="44" t="n">
        <v>0</v>
      </c>
      <c r="J262" s="44" t="n">
        <v>0</v>
      </c>
      <c r="K262" s="44" t="n">
        <v>0</v>
      </c>
      <c r="L262" s="44">
        <f>'Reg Output - Commissioned'!L26/30</f>
        <v/>
      </c>
      <c r="M262" s="44">
        <f>'Reg Output - Commissioned'!L26/30</f>
        <v/>
      </c>
      <c r="N262" s="44">
        <f>'Reg Output - Commissioned'!L26/30</f>
        <v/>
      </c>
      <c r="O262" s="44">
        <f>'Reg Output - Commissioned'!L26/30</f>
        <v/>
      </c>
      <c r="P262" s="44">
        <f>'Reg Output - Commissioned'!L26/30</f>
        <v/>
      </c>
    </row>
    <row r="263">
      <c r="A263" s="17" t="inlineStr">
        <is>
          <t xml:space="preserve">    Vintage FY2030E</t>
        </is>
      </c>
      <c r="B263" s="26" t="n">
        <v>0</v>
      </c>
      <c r="C263" s="26" t="n">
        <v>0</v>
      </c>
      <c r="D263" s="26" t="n">
        <v>0</v>
      </c>
      <c r="E263" s="26" t="n">
        <v>0</v>
      </c>
      <c r="F263" s="26" t="n">
        <v>0</v>
      </c>
      <c r="G263" s="44" t="n">
        <v>0</v>
      </c>
      <c r="H263" s="44" t="n">
        <v>0</v>
      </c>
      <c r="I263" s="44" t="n">
        <v>0</v>
      </c>
      <c r="J263" s="44" t="n">
        <v>0</v>
      </c>
      <c r="K263" s="44" t="n">
        <v>0</v>
      </c>
      <c r="L263" s="44" t="n">
        <v>0</v>
      </c>
      <c r="M263" s="44">
        <f>'Reg Output - Commissioned'!M26/30</f>
        <v/>
      </c>
      <c r="N263" s="44">
        <f>'Reg Output - Commissioned'!M26/30</f>
        <v/>
      </c>
      <c r="O263" s="44">
        <f>'Reg Output - Commissioned'!M26/30</f>
        <v/>
      </c>
      <c r="P263" s="44">
        <f>'Reg Output - Commissioned'!M26/30</f>
        <v/>
      </c>
    </row>
    <row r="264">
      <c r="A264" s="17" t="inlineStr">
        <is>
          <t xml:space="preserve">    Vintage FY2031E</t>
        </is>
      </c>
      <c r="B264" s="26" t="n">
        <v>0</v>
      </c>
      <c r="C264" s="26" t="n">
        <v>0</v>
      </c>
      <c r="D264" s="26" t="n">
        <v>0</v>
      </c>
      <c r="E264" s="26" t="n">
        <v>0</v>
      </c>
      <c r="F264" s="26" t="n">
        <v>0</v>
      </c>
      <c r="G264" s="44" t="n">
        <v>0</v>
      </c>
      <c r="H264" s="44" t="n">
        <v>0</v>
      </c>
      <c r="I264" s="44" t="n">
        <v>0</v>
      </c>
      <c r="J264" s="44" t="n">
        <v>0</v>
      </c>
      <c r="K264" s="44" t="n">
        <v>0</v>
      </c>
      <c r="L264" s="44" t="n">
        <v>0</v>
      </c>
      <c r="M264" s="44" t="n">
        <v>0</v>
      </c>
      <c r="N264" s="44">
        <f>'Reg Output - Commissioned'!N26/30</f>
        <v/>
      </c>
      <c r="O264" s="44">
        <f>'Reg Output - Commissioned'!N26/30</f>
        <v/>
      </c>
      <c r="P264" s="44">
        <f>'Reg Output - Commissioned'!N26/30</f>
        <v/>
      </c>
    </row>
    <row r="265">
      <c r="A265" s="17" t="inlineStr">
        <is>
          <t xml:space="preserve">    Vintage FY2032E</t>
        </is>
      </c>
      <c r="B265" s="26" t="n">
        <v>0</v>
      </c>
      <c r="C265" s="26" t="n">
        <v>0</v>
      </c>
      <c r="D265" s="26" t="n">
        <v>0</v>
      </c>
      <c r="E265" s="26" t="n">
        <v>0</v>
      </c>
      <c r="F265" s="26" t="n">
        <v>0</v>
      </c>
      <c r="G265" s="44" t="n">
        <v>0</v>
      </c>
      <c r="H265" s="44" t="n">
        <v>0</v>
      </c>
      <c r="I265" s="44" t="n">
        <v>0</v>
      </c>
      <c r="J265" s="44" t="n">
        <v>0</v>
      </c>
      <c r="K265" s="44" t="n">
        <v>0</v>
      </c>
      <c r="L265" s="44" t="n">
        <v>0</v>
      </c>
      <c r="M265" s="44" t="n">
        <v>0</v>
      </c>
      <c r="N265" s="44" t="n">
        <v>0</v>
      </c>
      <c r="O265" s="44">
        <f>'Reg Output - Commissioned'!O26/30</f>
        <v/>
      </c>
      <c r="P265" s="44">
        <f>'Reg Output - Commissioned'!O26/30</f>
        <v/>
      </c>
    </row>
    <row r="266">
      <c r="A266" s="17" t="inlineStr">
        <is>
          <t xml:space="preserve">    Vintage FY2033E</t>
        </is>
      </c>
      <c r="B266" s="26" t="n">
        <v>0</v>
      </c>
      <c r="C266" s="26" t="n">
        <v>0</v>
      </c>
      <c r="D266" s="26" t="n">
        <v>0</v>
      </c>
      <c r="E266" s="26" t="n">
        <v>0</v>
      </c>
      <c r="F266" s="26" t="n">
        <v>0</v>
      </c>
      <c r="G266" s="44" t="n">
        <v>0</v>
      </c>
      <c r="H266" s="44" t="n">
        <v>0</v>
      </c>
      <c r="I266" s="44" t="n">
        <v>0</v>
      </c>
      <c r="J266" s="44" t="n">
        <v>0</v>
      </c>
      <c r="K266" s="44" t="n">
        <v>0</v>
      </c>
      <c r="L266" s="44" t="n">
        <v>0</v>
      </c>
      <c r="M266" s="44" t="n">
        <v>0</v>
      </c>
      <c r="N266" s="44" t="n">
        <v>0</v>
      </c>
      <c r="O266" s="44" t="n">
        <v>0</v>
      </c>
      <c r="P266" s="44">
        <f>'Reg Output - Commissioned'!P26/30</f>
        <v/>
      </c>
    </row>
    <row r="267">
      <c r="A267" s="17" t="inlineStr">
        <is>
          <t xml:space="preserve">    AC22 Total Depn</t>
        </is>
      </c>
      <c r="B267" s="43">
        <f>SUM(B257:B266)</f>
        <v/>
      </c>
      <c r="C267" s="43">
        <f>SUM(C257:C266)</f>
        <v/>
      </c>
      <c r="D267" s="43">
        <f>SUM(D257:D266)</f>
        <v/>
      </c>
      <c r="E267" s="43">
        <f>SUM(E257:E266)</f>
        <v/>
      </c>
      <c r="F267" s="43">
        <f>SUM(F257:F266)</f>
        <v/>
      </c>
      <c r="G267" s="43">
        <f>SUM(G257:G266)</f>
        <v/>
      </c>
      <c r="H267" s="43">
        <f>SUM(H257:H266)</f>
        <v/>
      </c>
      <c r="I267" s="43">
        <f>SUM(I257:I266)</f>
        <v/>
      </c>
      <c r="J267" s="43">
        <f>SUM(J257:J266)</f>
        <v/>
      </c>
      <c r="K267" s="43">
        <f>SUM(K257:K266)</f>
        <v/>
      </c>
      <c r="L267" s="43">
        <f>SUM(L257:L266)</f>
        <v/>
      </c>
      <c r="M267" s="43">
        <f>SUM(M257:M266)</f>
        <v/>
      </c>
      <c r="N267" s="43">
        <f>SUM(N257:N266)</f>
        <v/>
      </c>
      <c r="O267" s="43">
        <f>SUM(O257:O266)</f>
        <v/>
      </c>
      <c r="P267" s="43">
        <f>SUM(P257:P266)</f>
        <v/>
      </c>
    </row>
    <row r="268">
      <c r="A268" s="15" t="inlineStr">
        <is>
          <t>GRAND TOTAL — All Asset Classes</t>
        </is>
      </c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>
      <c r="A269" s="17" t="inlineStr">
        <is>
          <t xml:space="preserve">  Total New Assets Depreciation ($M)</t>
        </is>
      </c>
      <c r="B269" s="42">
        <f>B15+B27+B39+B51+B63+B75+B87+B99+B111+B123+B135+B147+B159+B171+B183+B195+B207+B219+B231+B243+B255+B267</f>
        <v/>
      </c>
      <c r="C269" s="42">
        <f>C15+C27+C39+C51+C63+C75+C87+C99+C111+C123+C135+C147+C159+C171+C183+C195+C207+C219+C231+C243+C255+C267</f>
        <v/>
      </c>
      <c r="D269" s="42">
        <f>D15+D27+D39+D51+D63+D75+D87+D99+D111+D123+D135+D147+D159+D171+D183+D195+D207+D219+D231+D243+D255+D267</f>
        <v/>
      </c>
      <c r="E269" s="42">
        <f>E15+E27+E39+E51+E63+E75+E87+E99+E111+E123+E135+E147+E159+E171+E183+E195+E207+E219+E231+E243+E255+E267</f>
        <v/>
      </c>
      <c r="F269" s="42">
        <f>F15+F27+F39+F51+F63+F75+F87+F99+F111+F123+F135+F147+F159+F171+F183+F195+F207+F219+F231+F243+F255+F267</f>
        <v/>
      </c>
      <c r="G269" s="42">
        <f>G15+G27+G39+G51+G63+G75+G87+G99+G111+G123+G135+G147+G159+G171+G183+G195+G207+G219+G231+G243+G255+G267</f>
        <v/>
      </c>
      <c r="H269" s="42">
        <f>H15+H27+H39+H51+H63+H75+H87+H99+H111+H123+H135+H147+H159+H171+H183+H195+H207+H219+H231+H243+H255+H267</f>
        <v/>
      </c>
      <c r="I269" s="42">
        <f>I15+I27+I39+I51+I63+I75+I87+I99+I111+I123+I135+I147+I159+I171+I183+I195+I207+I219+I231+I243+I255+I267</f>
        <v/>
      </c>
      <c r="J269" s="42">
        <f>J15+J27+J39+J51+J63+J75+J87+J99+J111+J123+J135+J147+J159+J171+J183+J195+J207+J219+J231+J243+J255+J267</f>
        <v/>
      </c>
      <c r="K269" s="42">
        <f>K15+K27+K39+K51+K63+K75+K87+K99+K111+K123+K135+K147+K159+K171+K183+K195+K207+K219+K231+K243+K255+K267</f>
        <v/>
      </c>
      <c r="L269" s="42">
        <f>L15+L27+L39+L51+L63+L75+L87+L99+L111+L123+L135+L147+L159+L171+L183+L195+L207+L219+L231+L243+L255+L267</f>
        <v/>
      </c>
      <c r="M269" s="42">
        <f>M15+M27+M39+M51+M63+M75+M87+M99+M111+M123+M135+M147+M159+M171+M183+M195+M207+M219+M231+M243+M255+M267</f>
        <v/>
      </c>
      <c r="N269" s="42">
        <f>N15+N27+N39+N51+N63+N75+N87+N99+N111+N123+N135+N147+N159+N171+N183+N195+N207+N219+N231+N243+N255+N267</f>
        <v/>
      </c>
      <c r="O269" s="42">
        <f>O15+O27+O39+O51+O63+O75+O87+O99+O111+O123+O135+O147+O159+O171+O183+O195+O207+O219+O231+O243+O255+O267</f>
        <v/>
      </c>
      <c r="P269" s="42">
        <f>P15+P27+P39+P51+P63+P75+P87+P99+P111+P123+P135+P147+P159+P171+P183+P195+P207+P219+P231+P243+P255+P267</f>
        <v/>
      </c>
    </row>
  </sheetData>
  <mergeCells count="1">
    <mergeCell ref="A1: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B0082"/>
    <outlinePr summaryBelow="1" summaryRight="1"/>
    <pageSetUpPr/>
  </sheetPr>
  <dimension ref="A1:Q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6" t="inlineStr">
        <is>
          <t>DEPRECIATION SUMMARY — New Vintage + Existing Legacy → 5-Class Totals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New Asset Depreciation (Vintage SL, rolled up to 5 classes)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Lines</t>
        </is>
      </c>
      <c r="B5" s="26">
        <f>'New Assets Depn'!B15+'New Assets Depn'!B27+'New Assets Depn'!B39+'New Assets Depn'!B171</f>
        <v/>
      </c>
      <c r="C5" s="26">
        <f>'New Assets Depn'!C15+'New Assets Depn'!C27+'New Assets Depn'!C39+'New Assets Depn'!C171</f>
        <v/>
      </c>
      <c r="D5" s="26">
        <f>'New Assets Depn'!D15+'New Assets Depn'!D27+'New Assets Depn'!D39+'New Assets Depn'!D171</f>
        <v/>
      </c>
      <c r="E5" s="26">
        <f>'New Assets Depn'!E15+'New Assets Depn'!E27+'New Assets Depn'!E39+'New Assets Depn'!E171</f>
        <v/>
      </c>
      <c r="F5" s="26">
        <f>'New Assets Depn'!F15+'New Assets Depn'!F27+'New Assets Depn'!F39+'New Assets Depn'!F171</f>
        <v/>
      </c>
      <c r="G5" s="44">
        <f>'New Assets Depn'!G15+'New Assets Depn'!G27+'New Assets Depn'!G39+'New Assets Depn'!G171</f>
        <v/>
      </c>
      <c r="H5" s="44">
        <f>'New Assets Depn'!H15+'New Assets Depn'!H27+'New Assets Depn'!H39+'New Assets Depn'!H171</f>
        <v/>
      </c>
      <c r="I5" s="44">
        <f>'New Assets Depn'!I15+'New Assets Depn'!I27+'New Assets Depn'!I39+'New Assets Depn'!I171</f>
        <v/>
      </c>
      <c r="J5" s="44">
        <f>'New Assets Depn'!J15+'New Assets Depn'!J27+'New Assets Depn'!J39+'New Assets Depn'!J171</f>
        <v/>
      </c>
      <c r="K5" s="44">
        <f>'New Assets Depn'!K15+'New Assets Depn'!K27+'New Assets Depn'!K39+'New Assets Depn'!K171</f>
        <v/>
      </c>
      <c r="L5" s="44">
        <f>'New Assets Depn'!L15+'New Assets Depn'!L27+'New Assets Depn'!L39+'New Assets Depn'!L171</f>
        <v/>
      </c>
      <c r="M5" s="44">
        <f>'New Assets Depn'!M15+'New Assets Depn'!M27+'New Assets Depn'!M39+'New Assets Depn'!M171</f>
        <v/>
      </c>
      <c r="N5" s="44">
        <f>'New Assets Depn'!N15+'New Assets Depn'!N27+'New Assets Depn'!N39+'New Assets Depn'!N171</f>
        <v/>
      </c>
      <c r="O5" s="44">
        <f>'New Assets Depn'!O15+'New Assets Depn'!O27+'New Assets Depn'!O39+'New Assets Depn'!O171</f>
        <v/>
      </c>
      <c r="P5" s="44">
        <f>'New Assets Depn'!P15+'New Assets Depn'!P27+'New Assets Depn'!P39+'New Assets Depn'!P171</f>
        <v/>
      </c>
    </row>
    <row r="6">
      <c r="A6" s="17" t="inlineStr">
        <is>
          <t xml:space="preserve">  Subs</t>
        </is>
      </c>
      <c r="B6" s="26">
        <f>'New Assets Depn'!B63+'New Assets Depn'!B75</f>
        <v/>
      </c>
      <c r="C6" s="26">
        <f>'New Assets Depn'!C63+'New Assets Depn'!C75</f>
        <v/>
      </c>
      <c r="D6" s="26">
        <f>'New Assets Depn'!D63+'New Assets Depn'!D75</f>
        <v/>
      </c>
      <c r="E6" s="26">
        <f>'New Assets Depn'!E63+'New Assets Depn'!E75</f>
        <v/>
      </c>
      <c r="F6" s="26">
        <f>'New Assets Depn'!F63+'New Assets Depn'!F75</f>
        <v/>
      </c>
      <c r="G6" s="44">
        <f>'New Assets Depn'!G63+'New Assets Depn'!G75</f>
        <v/>
      </c>
      <c r="H6" s="44">
        <f>'New Assets Depn'!H63+'New Assets Depn'!H75</f>
        <v/>
      </c>
      <c r="I6" s="44">
        <f>'New Assets Depn'!I63+'New Assets Depn'!I75</f>
        <v/>
      </c>
      <c r="J6" s="44">
        <f>'New Assets Depn'!J63+'New Assets Depn'!J75</f>
        <v/>
      </c>
      <c r="K6" s="44">
        <f>'New Assets Depn'!K63+'New Assets Depn'!K75</f>
        <v/>
      </c>
      <c r="L6" s="44">
        <f>'New Assets Depn'!L63+'New Assets Depn'!L75</f>
        <v/>
      </c>
      <c r="M6" s="44">
        <f>'New Assets Depn'!M63+'New Assets Depn'!M75</f>
        <v/>
      </c>
      <c r="N6" s="44">
        <f>'New Assets Depn'!N63+'New Assets Depn'!N75</f>
        <v/>
      </c>
      <c r="O6" s="44">
        <f>'New Assets Depn'!O63+'New Assets Depn'!O75</f>
        <v/>
      </c>
      <c r="P6" s="44">
        <f>'New Assets Depn'!P63+'New Assets Depn'!P75</f>
        <v/>
      </c>
    </row>
    <row r="7">
      <c r="A7" s="17" t="inlineStr">
        <is>
          <t xml:space="preserve">  Trans</t>
        </is>
      </c>
      <c r="B7" s="26">
        <f>'New Assets Depn'!B51</f>
        <v/>
      </c>
      <c r="C7" s="26">
        <f>'New Assets Depn'!C51</f>
        <v/>
      </c>
      <c r="D7" s="26">
        <f>'New Assets Depn'!D51</f>
        <v/>
      </c>
      <c r="E7" s="26">
        <f>'New Assets Depn'!E51</f>
        <v/>
      </c>
      <c r="F7" s="26">
        <f>'New Assets Depn'!F51</f>
        <v/>
      </c>
      <c r="G7" s="44">
        <f>'New Assets Depn'!G51</f>
        <v/>
      </c>
      <c r="H7" s="44">
        <f>'New Assets Depn'!H51</f>
        <v/>
      </c>
      <c r="I7" s="44">
        <f>'New Assets Depn'!I51</f>
        <v/>
      </c>
      <c r="J7" s="44">
        <f>'New Assets Depn'!J51</f>
        <v/>
      </c>
      <c r="K7" s="44">
        <f>'New Assets Depn'!K51</f>
        <v/>
      </c>
      <c r="L7" s="44">
        <f>'New Assets Depn'!L51</f>
        <v/>
      </c>
      <c r="M7" s="44">
        <f>'New Assets Depn'!M51</f>
        <v/>
      </c>
      <c r="N7" s="44">
        <f>'New Assets Depn'!N51</f>
        <v/>
      </c>
      <c r="O7" s="44">
        <f>'New Assets Depn'!O51</f>
        <v/>
      </c>
      <c r="P7" s="44">
        <f>'New Assets Depn'!P51</f>
        <v/>
      </c>
    </row>
    <row r="8">
      <c r="A8" s="17" t="inlineStr">
        <is>
          <t xml:space="preserve">  Scada</t>
        </is>
      </c>
      <c r="B8" s="26">
        <f>'New Assets Depn'!B87+'New Assets Depn'!B99+'New Assets Depn'!B111+'New Assets Depn'!B147</f>
        <v/>
      </c>
      <c r="C8" s="26">
        <f>'New Assets Depn'!C87+'New Assets Depn'!C99+'New Assets Depn'!C111+'New Assets Depn'!C147</f>
        <v/>
      </c>
      <c r="D8" s="26">
        <f>'New Assets Depn'!D87+'New Assets Depn'!D99+'New Assets Depn'!D111+'New Assets Depn'!D147</f>
        <v/>
      </c>
      <c r="E8" s="26">
        <f>'New Assets Depn'!E87+'New Assets Depn'!E99+'New Assets Depn'!E111+'New Assets Depn'!E147</f>
        <v/>
      </c>
      <c r="F8" s="26">
        <f>'New Assets Depn'!F87+'New Assets Depn'!F99+'New Assets Depn'!F111+'New Assets Depn'!F147</f>
        <v/>
      </c>
      <c r="G8" s="44">
        <f>'New Assets Depn'!G87+'New Assets Depn'!G99+'New Assets Depn'!G111+'New Assets Depn'!G147</f>
        <v/>
      </c>
      <c r="H8" s="44">
        <f>'New Assets Depn'!H87+'New Assets Depn'!H99+'New Assets Depn'!H111+'New Assets Depn'!H147</f>
        <v/>
      </c>
      <c r="I8" s="44">
        <f>'New Assets Depn'!I87+'New Assets Depn'!I99+'New Assets Depn'!I111+'New Assets Depn'!I147</f>
        <v/>
      </c>
      <c r="J8" s="44">
        <f>'New Assets Depn'!J87+'New Assets Depn'!J99+'New Assets Depn'!J111+'New Assets Depn'!J147</f>
        <v/>
      </c>
      <c r="K8" s="44">
        <f>'New Assets Depn'!K87+'New Assets Depn'!K99+'New Assets Depn'!K111+'New Assets Depn'!K147</f>
        <v/>
      </c>
      <c r="L8" s="44">
        <f>'New Assets Depn'!L87+'New Assets Depn'!L99+'New Assets Depn'!L111+'New Assets Depn'!L147</f>
        <v/>
      </c>
      <c r="M8" s="44">
        <f>'New Assets Depn'!M87+'New Assets Depn'!M99+'New Assets Depn'!M111+'New Assets Depn'!M147</f>
        <v/>
      </c>
      <c r="N8" s="44">
        <f>'New Assets Depn'!N87+'New Assets Depn'!N99+'New Assets Depn'!N111+'New Assets Depn'!N147</f>
        <v/>
      </c>
      <c r="O8" s="44">
        <f>'New Assets Depn'!O87+'New Assets Depn'!O99+'New Assets Depn'!O111+'New Assets Depn'!O147</f>
        <v/>
      </c>
      <c r="P8" s="44">
        <f>'New Assets Depn'!P87+'New Assets Depn'!P99+'New Assets Depn'!P111+'New Assets Depn'!P147</f>
        <v/>
      </c>
    </row>
    <row r="9">
      <c r="A9" s="17" t="inlineStr">
        <is>
          <t xml:space="preserve">  Other</t>
        </is>
      </c>
      <c r="B9" s="26">
        <f>'New Assets Depn'!B123+'New Assets Depn'!B135+'New Assets Depn'!B159+'New Assets Depn'!B183+'New Assets Depn'!B195+'New Assets Depn'!B207+'New Assets Depn'!B219+'New Assets Depn'!B231+'New Assets Depn'!B243+'New Assets Depn'!B255+'New Assets Depn'!B267</f>
        <v/>
      </c>
      <c r="C9" s="26">
        <f>'New Assets Depn'!C123+'New Assets Depn'!C135+'New Assets Depn'!C159+'New Assets Depn'!C183+'New Assets Depn'!C195+'New Assets Depn'!C207+'New Assets Depn'!C219+'New Assets Depn'!C231+'New Assets Depn'!C243+'New Assets Depn'!C255+'New Assets Depn'!C267</f>
        <v/>
      </c>
      <c r="D9" s="26">
        <f>'New Assets Depn'!D123+'New Assets Depn'!D135+'New Assets Depn'!D159+'New Assets Depn'!D183+'New Assets Depn'!D195+'New Assets Depn'!D207+'New Assets Depn'!D219+'New Assets Depn'!D231+'New Assets Depn'!D243+'New Assets Depn'!D255+'New Assets Depn'!D267</f>
        <v/>
      </c>
      <c r="E9" s="26">
        <f>'New Assets Depn'!E123+'New Assets Depn'!E135+'New Assets Depn'!E159+'New Assets Depn'!E183+'New Assets Depn'!E195+'New Assets Depn'!E207+'New Assets Depn'!E219+'New Assets Depn'!E231+'New Assets Depn'!E243+'New Assets Depn'!E255+'New Assets Depn'!E267</f>
        <v/>
      </c>
      <c r="F9" s="26">
        <f>'New Assets Depn'!F123+'New Assets Depn'!F135+'New Assets Depn'!F159+'New Assets Depn'!F183+'New Assets Depn'!F195+'New Assets Depn'!F207+'New Assets Depn'!F219+'New Assets Depn'!F231+'New Assets Depn'!F243+'New Assets Depn'!F255+'New Assets Depn'!F267</f>
        <v/>
      </c>
      <c r="G9" s="44">
        <f>'New Assets Depn'!G123+'New Assets Depn'!G135+'New Assets Depn'!G159+'New Assets Depn'!G183+'New Assets Depn'!G195+'New Assets Depn'!G207+'New Assets Depn'!G219+'New Assets Depn'!G231+'New Assets Depn'!G243+'New Assets Depn'!G255+'New Assets Depn'!G267</f>
        <v/>
      </c>
      <c r="H9" s="44">
        <f>'New Assets Depn'!H123+'New Assets Depn'!H135+'New Assets Depn'!H159+'New Assets Depn'!H183+'New Assets Depn'!H195+'New Assets Depn'!H207+'New Assets Depn'!H219+'New Assets Depn'!H231+'New Assets Depn'!H243+'New Assets Depn'!H255+'New Assets Depn'!H267</f>
        <v/>
      </c>
      <c r="I9" s="44">
        <f>'New Assets Depn'!I123+'New Assets Depn'!I135+'New Assets Depn'!I159+'New Assets Depn'!I183+'New Assets Depn'!I195+'New Assets Depn'!I207+'New Assets Depn'!I219+'New Assets Depn'!I231+'New Assets Depn'!I243+'New Assets Depn'!I255+'New Assets Depn'!I267</f>
        <v/>
      </c>
      <c r="J9" s="44">
        <f>'New Assets Depn'!J123+'New Assets Depn'!J135+'New Assets Depn'!J159+'New Assets Depn'!J183+'New Assets Depn'!J195+'New Assets Depn'!J207+'New Assets Depn'!J219+'New Assets Depn'!J231+'New Assets Depn'!J243+'New Assets Depn'!J255+'New Assets Depn'!J267</f>
        <v/>
      </c>
      <c r="K9" s="44">
        <f>'New Assets Depn'!K123+'New Assets Depn'!K135+'New Assets Depn'!K159+'New Assets Depn'!K183+'New Assets Depn'!K195+'New Assets Depn'!K207+'New Assets Depn'!K219+'New Assets Depn'!K231+'New Assets Depn'!K243+'New Assets Depn'!K255+'New Assets Depn'!K267</f>
        <v/>
      </c>
      <c r="L9" s="44">
        <f>'New Assets Depn'!L123+'New Assets Depn'!L135+'New Assets Depn'!L159+'New Assets Depn'!L183+'New Assets Depn'!L195+'New Assets Depn'!L207+'New Assets Depn'!L219+'New Assets Depn'!L231+'New Assets Depn'!L243+'New Assets Depn'!L255+'New Assets Depn'!L267</f>
        <v/>
      </c>
      <c r="M9" s="44">
        <f>'New Assets Depn'!M123+'New Assets Depn'!M135+'New Assets Depn'!M159+'New Assets Depn'!M183+'New Assets Depn'!M195+'New Assets Depn'!M207+'New Assets Depn'!M219+'New Assets Depn'!M231+'New Assets Depn'!M243+'New Assets Depn'!M255+'New Assets Depn'!M267</f>
        <v/>
      </c>
      <c r="N9" s="44">
        <f>'New Assets Depn'!N123+'New Assets Depn'!N135+'New Assets Depn'!N159+'New Assets Depn'!N183+'New Assets Depn'!N195+'New Assets Depn'!N207+'New Assets Depn'!N219+'New Assets Depn'!N231+'New Assets Depn'!N243+'New Assets Depn'!N255+'New Assets Depn'!N267</f>
        <v/>
      </c>
      <c r="O9" s="44">
        <f>'New Assets Depn'!O123+'New Assets Depn'!O135+'New Assets Depn'!O159+'New Assets Depn'!O183+'New Assets Depn'!O195+'New Assets Depn'!O207+'New Assets Depn'!O219+'New Assets Depn'!O231+'New Assets Depn'!O243+'New Assets Depn'!O255+'New Assets Depn'!O267</f>
        <v/>
      </c>
      <c r="P9" s="44">
        <f>'New Assets Depn'!P123+'New Assets Depn'!P135+'New Assets Depn'!P159+'New Assets Depn'!P183+'New Assets Depn'!P195+'New Assets Depn'!P207+'New Assets Depn'!P219+'New Assets Depn'!P231+'New Assets Depn'!P243+'New Assets Depn'!P255+'New Assets Depn'!P267</f>
        <v/>
      </c>
    </row>
    <row r="10">
      <c r="A10" s="17" t="inlineStr">
        <is>
          <t xml:space="preserve">  Total New Assets Depreciation</t>
        </is>
      </c>
      <c r="B10" s="42">
        <f>SUM(B5:B9)</f>
        <v/>
      </c>
      <c r="C10" s="42">
        <f>SUM(C5:C9)</f>
        <v/>
      </c>
      <c r="D10" s="42">
        <f>SUM(D5:D9)</f>
        <v/>
      </c>
      <c r="E10" s="42">
        <f>SUM(E5:E9)</f>
        <v/>
      </c>
      <c r="F10" s="42">
        <f>SUM(F5:F9)</f>
        <v/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SECTION B — Existing Asset Depreciation (from RAB Roll-Forward)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Lines</t>
        </is>
      </c>
      <c r="B13" s="26">
        <f>'RAB Roll-Forward'!B8</f>
        <v/>
      </c>
      <c r="C13" s="26">
        <f>'RAB Roll-Forward'!C8</f>
        <v/>
      </c>
      <c r="D13" s="26">
        <f>'RAB Roll-Forward'!D8</f>
        <v/>
      </c>
      <c r="E13" s="26">
        <f>'RAB Roll-Forward'!E8</f>
        <v/>
      </c>
      <c r="F13" s="26">
        <f>'RAB Roll-Forward'!F8</f>
        <v/>
      </c>
      <c r="G13" s="44">
        <f>'RAB Roll-Forward'!G8</f>
        <v/>
      </c>
      <c r="H13" s="44">
        <f>'RAB Roll-Forward'!H8</f>
        <v/>
      </c>
      <c r="I13" s="44">
        <f>'RAB Roll-Forward'!I8</f>
        <v/>
      </c>
      <c r="J13" s="44">
        <f>'RAB Roll-Forward'!J8</f>
        <v/>
      </c>
      <c r="K13" s="44">
        <f>'RAB Roll-Forward'!K8</f>
        <v/>
      </c>
      <c r="L13" s="44">
        <f>'RAB Roll-Forward'!L8</f>
        <v/>
      </c>
      <c r="M13" s="44">
        <f>'RAB Roll-Forward'!M8</f>
        <v/>
      </c>
      <c r="N13" s="44">
        <f>'RAB Roll-Forward'!N8</f>
        <v/>
      </c>
      <c r="O13" s="44">
        <f>'RAB Roll-Forward'!O8</f>
        <v/>
      </c>
      <c r="P13" s="44">
        <f>'RAB Roll-Forward'!P8</f>
        <v/>
      </c>
    </row>
    <row r="14">
      <c r="A14" s="17" t="inlineStr">
        <is>
          <t xml:space="preserve">  Subs</t>
        </is>
      </c>
      <c r="B14" s="26">
        <f>'RAB Roll-Forward'!B15</f>
        <v/>
      </c>
      <c r="C14" s="26">
        <f>'RAB Roll-Forward'!C15</f>
        <v/>
      </c>
      <c r="D14" s="26">
        <f>'RAB Roll-Forward'!D15</f>
        <v/>
      </c>
      <c r="E14" s="26">
        <f>'RAB Roll-Forward'!E15</f>
        <v/>
      </c>
      <c r="F14" s="26">
        <f>'RAB Roll-Forward'!F15</f>
        <v/>
      </c>
      <c r="G14" s="44">
        <f>'RAB Roll-Forward'!G15</f>
        <v/>
      </c>
      <c r="H14" s="44">
        <f>'RAB Roll-Forward'!H15</f>
        <v/>
      </c>
      <c r="I14" s="44">
        <f>'RAB Roll-Forward'!I15</f>
        <v/>
      </c>
      <c r="J14" s="44">
        <f>'RAB Roll-Forward'!J15</f>
        <v/>
      </c>
      <c r="K14" s="44">
        <f>'RAB Roll-Forward'!K15</f>
        <v/>
      </c>
      <c r="L14" s="44">
        <f>'RAB Roll-Forward'!L15</f>
        <v/>
      </c>
      <c r="M14" s="44">
        <f>'RAB Roll-Forward'!M15</f>
        <v/>
      </c>
      <c r="N14" s="44">
        <f>'RAB Roll-Forward'!N15</f>
        <v/>
      </c>
      <c r="O14" s="44">
        <f>'RAB Roll-Forward'!O15</f>
        <v/>
      </c>
      <c r="P14" s="44">
        <f>'RAB Roll-Forward'!P15</f>
        <v/>
      </c>
    </row>
    <row r="15">
      <c r="A15" s="17" t="inlineStr">
        <is>
          <t xml:space="preserve">  Trans</t>
        </is>
      </c>
      <c r="B15" s="26">
        <f>'RAB Roll-Forward'!B22</f>
        <v/>
      </c>
      <c r="C15" s="26">
        <f>'RAB Roll-Forward'!C22</f>
        <v/>
      </c>
      <c r="D15" s="26">
        <f>'RAB Roll-Forward'!D22</f>
        <v/>
      </c>
      <c r="E15" s="26">
        <f>'RAB Roll-Forward'!E22</f>
        <v/>
      </c>
      <c r="F15" s="26">
        <f>'RAB Roll-Forward'!F22</f>
        <v/>
      </c>
      <c r="G15" s="44">
        <f>'RAB Roll-Forward'!G22</f>
        <v/>
      </c>
      <c r="H15" s="44">
        <f>'RAB Roll-Forward'!H22</f>
        <v/>
      </c>
      <c r="I15" s="44">
        <f>'RAB Roll-Forward'!I22</f>
        <v/>
      </c>
      <c r="J15" s="44">
        <f>'RAB Roll-Forward'!J22</f>
        <v/>
      </c>
      <c r="K15" s="44">
        <f>'RAB Roll-Forward'!K22</f>
        <v/>
      </c>
      <c r="L15" s="44">
        <f>'RAB Roll-Forward'!L22</f>
        <v/>
      </c>
      <c r="M15" s="44">
        <f>'RAB Roll-Forward'!M22</f>
        <v/>
      </c>
      <c r="N15" s="44">
        <f>'RAB Roll-Forward'!N22</f>
        <v/>
      </c>
      <c r="O15" s="44">
        <f>'RAB Roll-Forward'!O22</f>
        <v/>
      </c>
      <c r="P15" s="44">
        <f>'RAB Roll-Forward'!P22</f>
        <v/>
      </c>
    </row>
    <row r="16">
      <c r="A16" s="17" t="inlineStr">
        <is>
          <t xml:space="preserve">  Scada</t>
        </is>
      </c>
      <c r="B16" s="26">
        <f>'RAB Roll-Forward'!B29</f>
        <v/>
      </c>
      <c r="C16" s="26">
        <f>'RAB Roll-Forward'!C29</f>
        <v/>
      </c>
      <c r="D16" s="26">
        <f>'RAB Roll-Forward'!D29</f>
        <v/>
      </c>
      <c r="E16" s="26">
        <f>'RAB Roll-Forward'!E29</f>
        <v/>
      </c>
      <c r="F16" s="26">
        <f>'RAB Roll-Forward'!F29</f>
        <v/>
      </c>
      <c r="G16" s="44">
        <f>'RAB Roll-Forward'!G29</f>
        <v/>
      </c>
      <c r="H16" s="44">
        <f>'RAB Roll-Forward'!H29</f>
        <v/>
      </c>
      <c r="I16" s="44">
        <f>'RAB Roll-Forward'!I29</f>
        <v/>
      </c>
      <c r="J16" s="44">
        <f>'RAB Roll-Forward'!J29</f>
        <v/>
      </c>
      <c r="K16" s="44">
        <f>'RAB Roll-Forward'!K29</f>
        <v/>
      </c>
      <c r="L16" s="44">
        <f>'RAB Roll-Forward'!L29</f>
        <v/>
      </c>
      <c r="M16" s="44">
        <f>'RAB Roll-Forward'!M29</f>
        <v/>
      </c>
      <c r="N16" s="44">
        <f>'RAB Roll-Forward'!N29</f>
        <v/>
      </c>
      <c r="O16" s="44">
        <f>'RAB Roll-Forward'!O29</f>
        <v/>
      </c>
      <c r="P16" s="44">
        <f>'RAB Roll-Forward'!P29</f>
        <v/>
      </c>
    </row>
    <row r="17">
      <c r="A17" s="17" t="inlineStr">
        <is>
          <t xml:space="preserve">  Other</t>
        </is>
      </c>
      <c r="B17" s="26">
        <f>'RAB Roll-Forward'!B36</f>
        <v/>
      </c>
      <c r="C17" s="26">
        <f>'RAB Roll-Forward'!C36</f>
        <v/>
      </c>
      <c r="D17" s="26">
        <f>'RAB Roll-Forward'!D36</f>
        <v/>
      </c>
      <c r="E17" s="26">
        <f>'RAB Roll-Forward'!E36</f>
        <v/>
      </c>
      <c r="F17" s="26">
        <f>'RAB Roll-Forward'!F36</f>
        <v/>
      </c>
      <c r="G17" s="44">
        <f>'RAB Roll-Forward'!G36</f>
        <v/>
      </c>
      <c r="H17" s="44">
        <f>'RAB Roll-Forward'!H36</f>
        <v/>
      </c>
      <c r="I17" s="44">
        <f>'RAB Roll-Forward'!I36</f>
        <v/>
      </c>
      <c r="J17" s="44">
        <f>'RAB Roll-Forward'!J36</f>
        <v/>
      </c>
      <c r="K17" s="44">
        <f>'RAB Roll-Forward'!K36</f>
        <v/>
      </c>
      <c r="L17" s="44">
        <f>'RAB Roll-Forward'!L36</f>
        <v/>
      </c>
      <c r="M17" s="44">
        <f>'RAB Roll-Forward'!M36</f>
        <v/>
      </c>
      <c r="N17" s="44">
        <f>'RAB Roll-Forward'!N36</f>
        <v/>
      </c>
      <c r="O17" s="44">
        <f>'RAB Roll-Forward'!O36</f>
        <v/>
      </c>
      <c r="P17" s="44">
        <f>'RAB Roll-Forward'!P36</f>
        <v/>
      </c>
    </row>
    <row r="18">
      <c r="A18" s="17" t="inlineStr">
        <is>
          <t xml:space="preserve">  Total Existing Depreciation</t>
        </is>
      </c>
      <c r="B18" s="42">
        <f>SUM(B13:B17)</f>
        <v/>
      </c>
      <c r="C18" s="42">
        <f>SUM(C13:C17)</f>
        <v/>
      </c>
      <c r="D18" s="42">
        <f>SUM(D13:D17)</f>
        <v/>
      </c>
      <c r="E18" s="42">
        <f>SUM(E13:E17)</f>
        <v/>
      </c>
      <c r="F18" s="42">
        <f>SUM(F13:F17)</f>
        <v/>
      </c>
      <c r="G18" s="42">
        <f>SUM(G13:G17)</f>
        <v/>
      </c>
      <c r="H18" s="42">
        <f>SUM(H13:H17)</f>
        <v/>
      </c>
      <c r="I18" s="42">
        <f>SUM(I13:I17)</f>
        <v/>
      </c>
      <c r="J18" s="42">
        <f>SUM(J13:J17)</f>
        <v/>
      </c>
      <c r="K18" s="42">
        <f>SUM(K13:K17)</f>
        <v/>
      </c>
      <c r="L18" s="42">
        <f>SUM(L13:L17)</f>
        <v/>
      </c>
      <c r="M18" s="42">
        <f>SUM(M13:M17)</f>
        <v/>
      </c>
      <c r="N18" s="42">
        <f>SUM(N13:N17)</f>
        <v/>
      </c>
      <c r="O18" s="42">
        <f>SUM(O13:O17)</f>
        <v/>
      </c>
      <c r="P18" s="42">
        <f>SUM(P13:P17)</f>
        <v/>
      </c>
    </row>
    <row r="20" ht="16" customHeight="1">
      <c r="A20" s="15" t="inlineStr">
        <is>
          <t>SECTION C — TOTAL REGULATORY DEPRECIATION (New + Existing)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Lines</t>
        </is>
      </c>
      <c r="B21" s="26">
        <f>B5+B13</f>
        <v/>
      </c>
      <c r="C21" s="26">
        <f>C5+C13</f>
        <v/>
      </c>
      <c r="D21" s="26">
        <f>D5+D13</f>
        <v/>
      </c>
      <c r="E21" s="26">
        <f>E5+E13</f>
        <v/>
      </c>
      <c r="F21" s="26">
        <f>F5+F13</f>
        <v/>
      </c>
      <c r="G21" s="44">
        <f>G5+G13</f>
        <v/>
      </c>
      <c r="H21" s="44">
        <f>H5+H13</f>
        <v/>
      </c>
      <c r="I21" s="44">
        <f>I5+I13</f>
        <v/>
      </c>
      <c r="J21" s="44">
        <f>J5+J13</f>
        <v/>
      </c>
      <c r="K21" s="44">
        <f>K5+K13</f>
        <v/>
      </c>
      <c r="L21" s="44">
        <f>L5+L13</f>
        <v/>
      </c>
      <c r="M21" s="44">
        <f>M5+M13</f>
        <v/>
      </c>
      <c r="N21" s="44">
        <f>N5+N13</f>
        <v/>
      </c>
      <c r="O21" s="44">
        <f>O5+O13</f>
        <v/>
      </c>
      <c r="P21" s="44">
        <f>P5+P13</f>
        <v/>
      </c>
    </row>
    <row r="22">
      <c r="A22" s="17" t="inlineStr">
        <is>
          <t xml:space="preserve">  Subs</t>
        </is>
      </c>
      <c r="B22" s="26">
        <f>B6+B14</f>
        <v/>
      </c>
      <c r="C22" s="26">
        <f>C6+C14</f>
        <v/>
      </c>
      <c r="D22" s="26">
        <f>D6+D14</f>
        <v/>
      </c>
      <c r="E22" s="26">
        <f>E6+E14</f>
        <v/>
      </c>
      <c r="F22" s="26">
        <f>F6+F14</f>
        <v/>
      </c>
      <c r="G22" s="44">
        <f>G6+G14</f>
        <v/>
      </c>
      <c r="H22" s="44">
        <f>H6+H14</f>
        <v/>
      </c>
      <c r="I22" s="44">
        <f>I6+I14</f>
        <v/>
      </c>
      <c r="J22" s="44">
        <f>J6+J14</f>
        <v/>
      </c>
      <c r="K22" s="44">
        <f>K6+K14</f>
        <v/>
      </c>
      <c r="L22" s="44">
        <f>L6+L14</f>
        <v/>
      </c>
      <c r="M22" s="44">
        <f>M6+M14</f>
        <v/>
      </c>
      <c r="N22" s="44">
        <f>N6+N14</f>
        <v/>
      </c>
      <c r="O22" s="44">
        <f>O6+O14</f>
        <v/>
      </c>
      <c r="P22" s="44">
        <f>P6+P14</f>
        <v/>
      </c>
    </row>
    <row r="23">
      <c r="A23" s="17" t="inlineStr">
        <is>
          <t xml:space="preserve">  Trans</t>
        </is>
      </c>
      <c r="B23" s="26">
        <f>B7+B15</f>
        <v/>
      </c>
      <c r="C23" s="26">
        <f>C7+C15</f>
        <v/>
      </c>
      <c r="D23" s="26">
        <f>D7+D15</f>
        <v/>
      </c>
      <c r="E23" s="26">
        <f>E7+E15</f>
        <v/>
      </c>
      <c r="F23" s="26">
        <f>F7+F15</f>
        <v/>
      </c>
      <c r="G23" s="44">
        <f>G7+G15</f>
        <v/>
      </c>
      <c r="H23" s="44">
        <f>H7+H15</f>
        <v/>
      </c>
      <c r="I23" s="44">
        <f>I7+I15</f>
        <v/>
      </c>
      <c r="J23" s="44">
        <f>J7+J15</f>
        <v/>
      </c>
      <c r="K23" s="44">
        <f>K7+K15</f>
        <v/>
      </c>
      <c r="L23" s="44">
        <f>L7+L15</f>
        <v/>
      </c>
      <c r="M23" s="44">
        <f>M7+M15</f>
        <v/>
      </c>
      <c r="N23" s="44">
        <f>N7+N15</f>
        <v/>
      </c>
      <c r="O23" s="44">
        <f>O7+O15</f>
        <v/>
      </c>
      <c r="P23" s="44">
        <f>P7+P15</f>
        <v/>
      </c>
    </row>
    <row r="24">
      <c r="A24" s="17" t="inlineStr">
        <is>
          <t xml:space="preserve">  Scada</t>
        </is>
      </c>
      <c r="B24" s="26">
        <f>B8+B16</f>
        <v/>
      </c>
      <c r="C24" s="26">
        <f>C8+C16</f>
        <v/>
      </c>
      <c r="D24" s="26">
        <f>D8+D16</f>
        <v/>
      </c>
      <c r="E24" s="26">
        <f>E8+E16</f>
        <v/>
      </c>
      <c r="F24" s="26">
        <f>F8+F16</f>
        <v/>
      </c>
      <c r="G24" s="44">
        <f>G8+G16</f>
        <v/>
      </c>
      <c r="H24" s="44">
        <f>H8+H16</f>
        <v/>
      </c>
      <c r="I24" s="44">
        <f>I8+I16</f>
        <v/>
      </c>
      <c r="J24" s="44">
        <f>J8+J16</f>
        <v/>
      </c>
      <c r="K24" s="44">
        <f>K8+K16</f>
        <v/>
      </c>
      <c r="L24" s="44">
        <f>L8+L16</f>
        <v/>
      </c>
      <c r="M24" s="44">
        <f>M8+M16</f>
        <v/>
      </c>
      <c r="N24" s="44">
        <f>N8+N16</f>
        <v/>
      </c>
      <c r="O24" s="44">
        <f>O8+O16</f>
        <v/>
      </c>
      <c r="P24" s="44">
        <f>P8+P16</f>
        <v/>
      </c>
    </row>
    <row r="25">
      <c r="A25" s="17" t="inlineStr">
        <is>
          <t xml:space="preserve">  Other</t>
        </is>
      </c>
      <c r="B25" s="26">
        <f>B9+B17</f>
        <v/>
      </c>
      <c r="C25" s="26">
        <f>C9+C17</f>
        <v/>
      </c>
      <c r="D25" s="26">
        <f>D9+D17</f>
        <v/>
      </c>
      <c r="E25" s="26">
        <f>E9+E17</f>
        <v/>
      </c>
      <c r="F25" s="26">
        <f>F9+F17</f>
        <v/>
      </c>
      <c r="G25" s="44">
        <f>G9+G17</f>
        <v/>
      </c>
      <c r="H25" s="44">
        <f>H9+H17</f>
        <v/>
      </c>
      <c r="I25" s="44">
        <f>I9+I17</f>
        <v/>
      </c>
      <c r="J25" s="44">
        <f>J9+J17</f>
        <v/>
      </c>
      <c r="K25" s="44">
        <f>K9+K17</f>
        <v/>
      </c>
      <c r="L25" s="44">
        <f>L9+L17</f>
        <v/>
      </c>
      <c r="M25" s="44">
        <f>M9+M17</f>
        <v/>
      </c>
      <c r="N25" s="44">
        <f>N9+N17</f>
        <v/>
      </c>
      <c r="O25" s="44">
        <f>O9+O17</f>
        <v/>
      </c>
      <c r="P25" s="44">
        <f>P9+P17</f>
        <v/>
      </c>
    </row>
    <row r="26">
      <c r="A26" s="17" t="inlineStr">
        <is>
          <t xml:space="preserve">  TOTAL Regulatory Depreciation  (parallel view to RAB Roll-Forward)</t>
        </is>
      </c>
      <c r="B26" s="42">
        <f>SUM(B21:B25)</f>
        <v/>
      </c>
      <c r="C26" s="42">
        <f>SUM(C21:C25)</f>
        <v/>
      </c>
      <c r="D26" s="42">
        <f>SUM(D21:D25)</f>
        <v/>
      </c>
      <c r="E26" s="42">
        <f>SUM(E21:E25)</f>
        <v/>
      </c>
      <c r="F26" s="42">
        <f>SUM(F21:F25)</f>
        <v/>
      </c>
      <c r="G26" s="42">
        <f>SUM(G21:G25)</f>
        <v/>
      </c>
      <c r="H26" s="42">
        <f>SUM(H21:H25)</f>
        <v/>
      </c>
      <c r="I26" s="42">
        <f>SUM(I21:I25)</f>
        <v/>
      </c>
      <c r="J26" s="42">
        <f>SUM(J21:J25)</f>
        <v/>
      </c>
      <c r="K26" s="42">
        <f>SUM(K21:K25)</f>
        <v/>
      </c>
      <c r="L26" s="42">
        <f>SUM(L21:L25)</f>
        <v/>
      </c>
      <c r="M26" s="42">
        <f>SUM(M21:M25)</f>
        <v/>
      </c>
      <c r="N26" s="42">
        <f>SUM(N21:N25)</f>
        <v/>
      </c>
      <c r="O26" s="42">
        <f>SUM(O21:O25)</f>
        <v/>
      </c>
      <c r="P26" s="42">
        <f>SUM(P21:P25)</f>
        <v/>
      </c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A1:Q2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7" t="inlineStr">
        <is>
          <t>CAPITAL PROJECTS PIPELINE — Project-Level Capex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Capital Projects ($M Nominal) — Forecast Period FY2024E–FY2033E</t>
        </is>
      </c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16" t="n"/>
    </row>
    <row r="5">
      <c r="A5" s="49" t="inlineStr">
        <is>
          <t xml:space="preserve">  Project Name  |  Type  |  Budget $M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50" t="inlineStr">
        <is>
          <t>P001  Grid Modernisation Program</t>
        </is>
      </c>
      <c r="G6" s="44" t="n">
        <v>90</v>
      </c>
      <c r="H6" s="44" t="n">
        <v>130</v>
      </c>
      <c r="I6" s="44" t="n">
        <v>150</v>
      </c>
      <c r="J6" s="44" t="n">
        <v>120</v>
      </c>
      <c r="K6" s="44" t="n">
        <v>80</v>
      </c>
      <c r="L6" s="44" t="n">
        <v>60</v>
      </c>
    </row>
    <row r="7">
      <c r="A7" s="51" t="inlineStr">
        <is>
          <t>P002  Substation Upgrades — Zone A</t>
        </is>
      </c>
      <c r="G7" s="44" t="n">
        <v>70</v>
      </c>
      <c r="H7" s="44" t="n">
        <v>90</v>
      </c>
      <c r="I7" s="44" t="n">
        <v>50</v>
      </c>
    </row>
    <row r="8">
      <c r="A8" s="50" t="inlineStr">
        <is>
          <t>P003  HVDC Interconnect (Stage 1)</t>
        </is>
      </c>
      <c r="H8" s="44" t="n">
        <v>60</v>
      </c>
      <c r="I8" s="44" t="n">
        <v>120</v>
      </c>
      <c r="J8" s="44" t="n">
        <v>150</v>
      </c>
      <c r="K8" s="44" t="n">
        <v>120</v>
      </c>
      <c r="L8" s="44" t="n">
        <v>30</v>
      </c>
    </row>
    <row r="9">
      <c r="A9" s="52" t="inlineStr">
        <is>
          <t>P004  New Connection — Wind Farm A</t>
        </is>
      </c>
      <c r="G9" s="44" t="n">
        <v>25</v>
      </c>
      <c r="H9" s="44" t="n">
        <v>20</v>
      </c>
    </row>
    <row r="10">
      <c r="A10" s="51" t="inlineStr">
        <is>
          <t>P005  Transformer Replacement Program</t>
        </is>
      </c>
      <c r="G10" s="44" t="n">
        <v>35</v>
      </c>
      <c r="H10" s="44" t="n">
        <v>40</v>
      </c>
      <c r="I10" s="44" t="n">
        <v>45</v>
      </c>
      <c r="J10" s="44" t="n">
        <v>50</v>
      </c>
      <c r="K10" s="44" t="n">
        <v>55</v>
      </c>
      <c r="L10" s="44" t="n">
        <v>55</v>
      </c>
      <c r="M10" s="44" t="n">
        <v>50</v>
      </c>
      <c r="N10" s="44" t="n">
        <v>20</v>
      </c>
    </row>
    <row r="11">
      <c r="A11" s="51" t="inlineStr">
        <is>
          <t>P006  Protection Relay Upgrade</t>
        </is>
      </c>
      <c r="G11" s="44" t="n">
        <v>30</v>
      </c>
      <c r="H11" s="44" t="n">
        <v>35</v>
      </c>
      <c r="I11" s="44" t="n">
        <v>30</v>
      </c>
      <c r="J11" s="44" t="n">
        <v>25</v>
      </c>
    </row>
    <row r="12">
      <c r="A12" s="52" t="inlineStr">
        <is>
          <t>P007  New Connection — Solar Farm B</t>
        </is>
      </c>
      <c r="H12" s="44" t="n">
        <v>40</v>
      </c>
      <c r="I12" s="44" t="n">
        <v>40</v>
      </c>
    </row>
    <row r="13">
      <c r="A13" s="51" t="inlineStr">
        <is>
          <t>P008  Transmission Reconductoring</t>
        </is>
      </c>
      <c r="I13" s="44" t="n">
        <v>50</v>
      </c>
      <c r="J13" s="44" t="n">
        <v>70</v>
      </c>
      <c r="K13" s="44" t="n">
        <v>90</v>
      </c>
      <c r="L13" s="44" t="n">
        <v>90</v>
      </c>
      <c r="M13" s="44" t="n">
        <v>80</v>
      </c>
      <c r="N13" s="44" t="n">
        <v>40</v>
      </c>
    </row>
    <row r="14">
      <c r="A14" s="50" t="inlineStr">
        <is>
          <t>P009  Digital Twin Infrastructure</t>
        </is>
      </c>
      <c r="J14" s="44" t="n">
        <v>30</v>
      </c>
      <c r="K14" s="44" t="n">
        <v>35</v>
      </c>
      <c r="L14" s="44" t="n">
        <v>25</v>
      </c>
    </row>
    <row r="15">
      <c r="A15" s="50" t="inlineStr">
        <is>
          <t>P010  Reactive Power Support</t>
        </is>
      </c>
      <c r="K15" s="44" t="n">
        <v>25</v>
      </c>
      <c r="L15" s="44" t="n">
        <v>30</v>
      </c>
      <c r="M15" s="44" t="n">
        <v>20</v>
      </c>
    </row>
    <row r="17">
      <c r="A17" s="53" t="inlineStr">
        <is>
          <t>TOTAL CAPEX BY YEAR ($M)</t>
        </is>
      </c>
      <c r="B17" s="45" t="n">
        <v>280</v>
      </c>
      <c r="C17" s="45" t="n">
        <v>305</v>
      </c>
      <c r="D17" s="45" t="n">
        <v>330</v>
      </c>
      <c r="E17" s="45" t="n">
        <v>355</v>
      </c>
      <c r="F17" s="45" t="n">
        <v>380</v>
      </c>
      <c r="G17" s="42">
        <f>SUM(G6,G7,G8,G9,G10,G11,G12,G13,G14,G15)</f>
        <v/>
      </c>
      <c r="H17" s="42">
        <f>SUM(H6,H7,H8,H9,H10,H11,H12,H13,H14,H15)</f>
        <v/>
      </c>
      <c r="I17" s="42">
        <f>SUM(I6,I7,I8,I9,I10,I11,I12,I13,I14,I15)</f>
        <v/>
      </c>
      <c r="J17" s="42">
        <f>SUM(J6,J7,J8,J9,J10,J11,J12,J13,J14,J15)</f>
        <v/>
      </c>
      <c r="K17" s="42">
        <f>SUM(K6,K7,K8,K9,K10,K11,K12,K13,K14,K15)</f>
        <v/>
      </c>
      <c r="L17" s="42">
        <f>SUM(L6,L7,L8,L9,L10,L11,L12,L13,L14,L15)</f>
        <v/>
      </c>
      <c r="M17" s="42">
        <f>SUM(M6,M7,M8,M9,M10,M11,M12,M13,M14,M15)</f>
        <v/>
      </c>
      <c r="N17" s="42">
        <f>SUM(N6,N7,N8,N9,N10,N11,N12,N13,N14,N15)</f>
        <v/>
      </c>
      <c r="O17" s="42">
        <f>SUM(O6,O7,O8,O9,O10,O11,O12,O13,O14,O15)</f>
        <v/>
      </c>
      <c r="P17" s="42">
        <f>SUM(P6,P7,P8,P9,P10,P11,P12,P13,P14,P15)</f>
        <v/>
      </c>
    </row>
    <row r="18">
      <c r="A18" s="54" t="inlineStr">
        <is>
          <t xml:space="preserve">  AUG=Augmentation (blue) | REPL=Replacement (yellow) | CONN=Connections (green)</t>
        </is>
      </c>
    </row>
    <row r="19">
      <c r="A19" s="17" t="inlineStr">
        <is>
          <t xml:space="preserve">  Augmentation (AUG)</t>
        </is>
      </c>
      <c r="B19" s="26" t="n">
        <v>150</v>
      </c>
      <c r="C19" s="26" t="n">
        <v>165</v>
      </c>
      <c r="D19" s="26" t="n">
        <v>175</v>
      </c>
      <c r="E19" s="26" t="n">
        <v>185</v>
      </c>
      <c r="F19" s="26" t="n">
        <v>195</v>
      </c>
      <c r="G19" s="44" t="n">
        <v>90</v>
      </c>
      <c r="H19" s="44" t="n">
        <v>190</v>
      </c>
      <c r="I19" s="44" t="n">
        <v>270</v>
      </c>
      <c r="J19" s="44" t="n">
        <v>300</v>
      </c>
      <c r="K19" s="44" t="n">
        <v>260</v>
      </c>
      <c r="L19" s="44" t="n">
        <v>145</v>
      </c>
      <c r="M19" s="44" t="n">
        <v>20</v>
      </c>
      <c r="N19" s="44" t="n">
        <v>0</v>
      </c>
      <c r="O19" s="44" t="n">
        <v>0</v>
      </c>
      <c r="P19" s="44" t="n">
        <v>0</v>
      </c>
    </row>
    <row r="20">
      <c r="A20" s="17" t="inlineStr">
        <is>
          <t xml:space="preserve">  Replacement (REPL)</t>
        </is>
      </c>
      <c r="B20" s="26" t="n">
        <v>100</v>
      </c>
      <c r="C20" s="26" t="n">
        <v>105</v>
      </c>
      <c r="D20" s="26" t="n">
        <v>115</v>
      </c>
      <c r="E20" s="26" t="n">
        <v>130</v>
      </c>
      <c r="F20" s="26" t="n">
        <v>145</v>
      </c>
      <c r="G20" s="44" t="n">
        <v>135</v>
      </c>
      <c r="H20" s="44" t="n">
        <v>165</v>
      </c>
      <c r="I20" s="44" t="n">
        <v>175</v>
      </c>
      <c r="J20" s="44" t="n">
        <v>145</v>
      </c>
      <c r="K20" s="44" t="n">
        <v>145</v>
      </c>
      <c r="L20" s="44" t="n">
        <v>145</v>
      </c>
      <c r="M20" s="44" t="n">
        <v>130</v>
      </c>
      <c r="N20" s="44" t="n">
        <v>60</v>
      </c>
      <c r="O20" s="44" t="n">
        <v>0</v>
      </c>
      <c r="P20" s="44" t="n">
        <v>0</v>
      </c>
    </row>
    <row r="21">
      <c r="A21" s="17" t="inlineStr">
        <is>
          <t xml:space="preserve">  Connections (CONN)</t>
        </is>
      </c>
      <c r="B21" s="26" t="n">
        <v>30</v>
      </c>
      <c r="C21" s="26" t="n">
        <v>35</v>
      </c>
      <c r="D21" s="26" t="n">
        <v>40</v>
      </c>
      <c r="E21" s="26" t="n">
        <v>40</v>
      </c>
      <c r="F21" s="26" t="n">
        <v>40</v>
      </c>
      <c r="G21" s="44" t="n">
        <v>25</v>
      </c>
      <c r="H21" s="44" t="n">
        <v>60</v>
      </c>
      <c r="I21" s="44" t="n">
        <v>40</v>
      </c>
      <c r="J21" s="44" t="n">
        <v>0</v>
      </c>
      <c r="K21" s="44" t="n">
        <v>0</v>
      </c>
      <c r="L21" s="44" t="n">
        <v>0</v>
      </c>
      <c r="M21" s="44" t="n">
        <v>0</v>
      </c>
      <c r="N21" s="44" t="n">
        <v>0</v>
      </c>
      <c r="O21" s="44" t="n">
        <v>0</v>
      </c>
      <c r="P21" s="44" t="n">
        <v>0</v>
      </c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Q1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7" t="inlineStr">
        <is>
          <t>CAPITAL EXPENDITURE SCHEDULE — Detailed Capex Build-Up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Project-Sourced Capex by Category ($M Nominal)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Augmentation Capex</t>
        </is>
      </c>
      <c r="B5" s="26">
        <f>Projects!B19</f>
        <v/>
      </c>
      <c r="C5" s="26">
        <f>Projects!C19</f>
        <v/>
      </c>
      <c r="D5" s="26">
        <f>Projects!D19</f>
        <v/>
      </c>
      <c r="E5" s="26">
        <f>Projects!E19</f>
        <v/>
      </c>
      <c r="F5" s="26">
        <f>Projects!F19</f>
        <v/>
      </c>
      <c r="G5" s="44">
        <f>Projects!G19</f>
        <v/>
      </c>
      <c r="H5" s="44">
        <f>Projects!H19</f>
        <v/>
      </c>
      <c r="I5" s="44">
        <f>Projects!I19</f>
        <v/>
      </c>
      <c r="J5" s="44">
        <f>Projects!J19</f>
        <v/>
      </c>
      <c r="K5" s="44">
        <f>Projects!K19</f>
        <v/>
      </c>
      <c r="L5" s="44">
        <f>Projects!L19</f>
        <v/>
      </c>
      <c r="M5" s="44">
        <f>Projects!M19</f>
        <v/>
      </c>
      <c r="N5" s="44">
        <f>Projects!N19</f>
        <v/>
      </c>
      <c r="O5" s="44">
        <f>Projects!O19</f>
        <v/>
      </c>
      <c r="P5" s="44">
        <f>Projects!P19</f>
        <v/>
      </c>
    </row>
    <row r="6">
      <c r="A6" s="17" t="inlineStr">
        <is>
          <t xml:space="preserve">  Replacement / Renewal</t>
        </is>
      </c>
      <c r="B6" s="26">
        <f>Projects!B20</f>
        <v/>
      </c>
      <c r="C6" s="26">
        <f>Projects!C20</f>
        <v/>
      </c>
      <c r="D6" s="26">
        <f>Projects!D20</f>
        <v/>
      </c>
      <c r="E6" s="26">
        <f>Projects!E20</f>
        <v/>
      </c>
      <c r="F6" s="26">
        <f>Projects!F20</f>
        <v/>
      </c>
      <c r="G6" s="44">
        <f>Projects!G20</f>
        <v/>
      </c>
      <c r="H6" s="44">
        <f>Projects!H20</f>
        <v/>
      </c>
      <c r="I6" s="44">
        <f>Projects!I20</f>
        <v/>
      </c>
      <c r="J6" s="44">
        <f>Projects!J20</f>
        <v/>
      </c>
      <c r="K6" s="44">
        <f>Projects!K20</f>
        <v/>
      </c>
      <c r="L6" s="44">
        <f>Projects!L20</f>
        <v/>
      </c>
      <c r="M6" s="44">
        <f>Projects!M20</f>
        <v/>
      </c>
      <c r="N6" s="44">
        <f>Projects!N20</f>
        <v/>
      </c>
      <c r="O6" s="44">
        <f>Projects!O20</f>
        <v/>
      </c>
      <c r="P6" s="44">
        <f>Projects!P20</f>
        <v/>
      </c>
    </row>
    <row r="7">
      <c r="A7" s="17" t="inlineStr">
        <is>
          <t xml:space="preserve">  Connections</t>
        </is>
      </c>
      <c r="B7" s="26">
        <f>Projects!B21</f>
        <v/>
      </c>
      <c r="C7" s="26">
        <f>Projects!C21</f>
        <v/>
      </c>
      <c r="D7" s="26">
        <f>Projects!D21</f>
        <v/>
      </c>
      <c r="E7" s="26">
        <f>Projects!E21</f>
        <v/>
      </c>
      <c r="F7" s="26">
        <f>Projects!F21</f>
        <v/>
      </c>
      <c r="G7" s="44">
        <f>Projects!G21</f>
        <v/>
      </c>
      <c r="H7" s="44">
        <f>Projects!H21</f>
        <v/>
      </c>
      <c r="I7" s="44">
        <f>Projects!I21</f>
        <v/>
      </c>
      <c r="J7" s="44">
        <f>Projects!J21</f>
        <v/>
      </c>
      <c r="K7" s="44">
        <f>Projects!K21</f>
        <v/>
      </c>
      <c r="L7" s="44">
        <f>Projects!L21</f>
        <v/>
      </c>
      <c r="M7" s="44">
        <f>Projects!M21</f>
        <v/>
      </c>
      <c r="N7" s="44">
        <f>Projects!N21</f>
        <v/>
      </c>
      <c r="O7" s="44">
        <f>Projects!O21</f>
        <v/>
      </c>
      <c r="P7" s="44">
        <f>Projects!P21</f>
        <v/>
      </c>
    </row>
    <row r="8">
      <c r="A8" s="17" t="inlineStr">
        <is>
          <t xml:space="preserve">  Total Project Capex</t>
        </is>
      </c>
      <c r="B8" s="43">
        <f>B5+B6+B7</f>
        <v/>
      </c>
      <c r="C8" s="43">
        <f>C5+C6+C7</f>
        <v/>
      </c>
      <c r="D8" s="43">
        <f>D5+D6+D7</f>
        <v/>
      </c>
      <c r="E8" s="43">
        <f>E5+E6+E7</f>
        <v/>
      </c>
      <c r="F8" s="43">
        <f>F5+F6+F7</f>
        <v/>
      </c>
      <c r="G8" s="43">
        <f>G5+G6+G7</f>
        <v/>
      </c>
      <c r="H8" s="43">
        <f>H5+H6+H7</f>
        <v/>
      </c>
      <c r="I8" s="43">
        <f>I5+I6+I7</f>
        <v/>
      </c>
      <c r="J8" s="43">
        <f>J5+J6+J7</f>
        <v/>
      </c>
      <c r="K8" s="43">
        <f>K5+K6+K7</f>
        <v/>
      </c>
      <c r="L8" s="43">
        <f>L5+L6+L7</f>
        <v/>
      </c>
      <c r="M8" s="43">
        <f>M5+M6+M7</f>
        <v/>
      </c>
      <c r="N8" s="43">
        <f>N5+N6+N7</f>
        <v/>
      </c>
      <c r="O8" s="43">
        <f>O5+O6+O7</f>
        <v/>
      </c>
      <c r="P8" s="43">
        <f>P5+P6+P7</f>
        <v/>
      </c>
    </row>
    <row r="10" ht="16" customHeight="1">
      <c r="A10" s="15" t="inlineStr">
        <is>
          <t>Capitalised Overheads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>
      <c r="A11" s="17" t="inlineStr">
        <is>
          <t xml:space="preserve">  Overhead Capitalisation Rate (%)</t>
        </is>
      </c>
      <c r="B11" s="18" t="n">
        <v>0.08</v>
      </c>
    </row>
    <row r="12">
      <c r="A12" s="17" t="inlineStr">
        <is>
          <t xml:space="preserve">  Capitalised Overheads ($M)</t>
        </is>
      </c>
      <c r="B12" s="26">
        <f>B8*$B$11</f>
        <v/>
      </c>
      <c r="C12" s="26">
        <f>C8*$B$11</f>
        <v/>
      </c>
      <c r="D12" s="26">
        <f>D8*$B$11</f>
        <v/>
      </c>
      <c r="E12" s="26">
        <f>E8*$B$11</f>
        <v/>
      </c>
      <c r="F12" s="26">
        <f>F8*$B$11</f>
        <v/>
      </c>
      <c r="G12" s="44">
        <f>G8*$B$11</f>
        <v/>
      </c>
      <c r="H12" s="44">
        <f>H8*$B$11</f>
        <v/>
      </c>
      <c r="I12" s="44">
        <f>I8*$B$11</f>
        <v/>
      </c>
      <c r="J12" s="44">
        <f>J8*$B$11</f>
        <v/>
      </c>
      <c r="K12" s="44">
        <f>K8*$B$11</f>
        <v/>
      </c>
      <c r="L12" s="44">
        <f>L8*$B$11</f>
        <v/>
      </c>
      <c r="M12" s="44">
        <f>M8*$B$11</f>
        <v/>
      </c>
      <c r="N12" s="44">
        <f>N8*$B$11</f>
        <v/>
      </c>
      <c r="O12" s="44">
        <f>O8*$B$11</f>
        <v/>
      </c>
      <c r="P12" s="44">
        <f>P8*$B$11</f>
        <v/>
      </c>
    </row>
    <row r="13">
      <c r="A13" s="17" t="inlineStr">
        <is>
          <t>TOTAL CAPEX (incl. overheads)</t>
        </is>
      </c>
      <c r="B13" s="42">
        <f>B8+B12</f>
        <v/>
      </c>
      <c r="C13" s="42">
        <f>C8+C12</f>
        <v/>
      </c>
      <c r="D13" s="42">
        <f>D8+D12</f>
        <v/>
      </c>
      <c r="E13" s="42">
        <f>E8+E12</f>
        <v/>
      </c>
      <c r="F13" s="42">
        <f>F8+F12</f>
        <v/>
      </c>
      <c r="G13" s="42">
        <f>G8+G12</f>
        <v/>
      </c>
      <c r="H13" s="42">
        <f>H8+H12</f>
        <v/>
      </c>
      <c r="I13" s="42">
        <f>I8+I12</f>
        <v/>
      </c>
      <c r="J13" s="42">
        <f>J8+J12</f>
        <v/>
      </c>
      <c r="K13" s="42">
        <f>K8+K12</f>
        <v/>
      </c>
      <c r="L13" s="42">
        <f>L8+L12</f>
        <v/>
      </c>
      <c r="M13" s="42">
        <f>M8+M12</f>
        <v/>
      </c>
      <c r="N13" s="42">
        <f>N8+N12</f>
        <v/>
      </c>
      <c r="O13" s="42">
        <f>O8+O12</f>
        <v/>
      </c>
      <c r="P13" s="42">
        <f>P8+P12</f>
        <v/>
      </c>
    </row>
    <row r="15" ht="16" customHeight="1">
      <c r="A15" s="15" t="inlineStr">
        <is>
          <t>Reconciliation to Assumptions Capex ($M)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>
      <c r="A16" s="17" t="inlineStr">
        <is>
          <t xml:space="preserve">  Assumptions Total (aug+repl+conn)</t>
        </is>
      </c>
      <c r="B16" s="26" t="n">
        <v>280</v>
      </c>
      <c r="C16" s="26" t="n">
        <v>305</v>
      </c>
      <c r="D16" s="26" t="n">
        <v>330</v>
      </c>
      <c r="E16" s="26" t="n">
        <v>355</v>
      </c>
      <c r="F16" s="26" t="n">
        <v>380</v>
      </c>
      <c r="G16" s="44">
        <f>Assumptions!G29+Assumptions!G30+Assumptions!G31</f>
        <v/>
      </c>
      <c r="H16" s="44">
        <f>Assumptions!H29+Assumptions!H30+Assumptions!H31</f>
        <v/>
      </c>
      <c r="I16" s="44">
        <f>Assumptions!I29+Assumptions!I30+Assumptions!I31</f>
        <v/>
      </c>
      <c r="J16" s="44">
        <f>Assumptions!J29+Assumptions!J30+Assumptions!J31</f>
        <v/>
      </c>
      <c r="K16" s="44">
        <f>Assumptions!K29+Assumptions!K30+Assumptions!K31</f>
        <v/>
      </c>
      <c r="L16" s="44">
        <f>Assumptions!L29+Assumptions!L30+Assumptions!L31</f>
        <v/>
      </c>
      <c r="M16" s="44">
        <f>Assumptions!M29+Assumptions!M30+Assumptions!M31</f>
        <v/>
      </c>
      <c r="N16" s="44">
        <f>Assumptions!N29+Assumptions!N30+Assumptions!N31</f>
        <v/>
      </c>
      <c r="O16" s="44">
        <f>Assumptions!O29+Assumptions!O30+Assumptions!O31</f>
        <v/>
      </c>
      <c r="P16" s="44">
        <f>Assumptions!P29+Assumptions!P30+Assumptions!P31</f>
        <v/>
      </c>
    </row>
    <row r="17">
      <c r="A17" s="17" t="inlineStr">
        <is>
          <t xml:space="preserve">  Variance (Capex tab less Assumptions)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39">
        <f>G13-G16</f>
        <v/>
      </c>
      <c r="H17" s="39">
        <f>H13-H16</f>
        <v/>
      </c>
      <c r="I17" s="39">
        <f>I13-I16</f>
        <v/>
      </c>
      <c r="J17" s="39">
        <f>J13-J16</f>
        <v/>
      </c>
      <c r="K17" s="39">
        <f>K13-K16</f>
        <v/>
      </c>
      <c r="L17" s="39">
        <f>L13-L16</f>
        <v/>
      </c>
      <c r="M17" s="39">
        <f>M13-M16</f>
        <v/>
      </c>
      <c r="N17" s="39">
        <f>N13-N16</f>
        <v/>
      </c>
      <c r="O17" s="39">
        <f>O13-O16</f>
        <v/>
      </c>
      <c r="P17" s="39">
        <f>P13-P16</f>
        <v/>
      </c>
    </row>
  </sheetData>
  <mergeCells count="1">
    <mergeCell ref="A1:P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Q5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5" t="inlineStr">
        <is>
          <t>FIXED ASSET REGISTER — PP&amp;E Roll-Forward by Asset Class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Gross PP&amp;E and Accumulated D&amp;A by Asset Class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5" t="inlineStr">
        <is>
          <t>TRANSMISSION LINES  (Standard Life: 40 yrs)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Opening Gross PP&amp;E</t>
        </is>
      </c>
      <c r="B6" s="26" t="n">
        <v>3200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44">
        <f>F9</f>
        <v/>
      </c>
      <c r="H6" s="44">
        <f>G9</f>
        <v/>
      </c>
      <c r="I6" s="44">
        <f>H9</f>
        <v/>
      </c>
      <c r="J6" s="44">
        <f>I9</f>
        <v/>
      </c>
      <c r="K6" s="44">
        <f>J9</f>
        <v/>
      </c>
      <c r="L6" s="44">
        <f>K9</f>
        <v/>
      </c>
      <c r="M6" s="44">
        <f>L9</f>
        <v/>
      </c>
      <c r="N6" s="44">
        <f>M9</f>
        <v/>
      </c>
      <c r="O6" s="44">
        <f>N9</f>
        <v/>
      </c>
      <c r="P6" s="44">
        <f>O9</f>
        <v/>
      </c>
    </row>
    <row r="7">
      <c r="A7" s="17" t="inlineStr">
        <is>
          <t xml:space="preserve">  + Additions (incurred basis × class %)</t>
        </is>
      </c>
      <c r="B7" s="26">
        <f>'Capex'!B13*0.5</f>
        <v/>
      </c>
      <c r="C7" s="26">
        <f>'Capex'!C13*0.5</f>
        <v/>
      </c>
      <c r="D7" s="26">
        <f>'Capex'!D13*0.5</f>
        <v/>
      </c>
      <c r="E7" s="26">
        <f>'Capex'!E13*0.5</f>
        <v/>
      </c>
      <c r="F7" s="26">
        <f>'Capex'!F13*0.5</f>
        <v/>
      </c>
      <c r="G7" s="44">
        <f>'Capex'!G13*0.5</f>
        <v/>
      </c>
      <c r="H7" s="44">
        <f>'Capex'!H13*0.5</f>
        <v/>
      </c>
      <c r="I7" s="44">
        <f>'Capex'!I13*0.5</f>
        <v/>
      </c>
      <c r="J7" s="44">
        <f>'Capex'!J13*0.5</f>
        <v/>
      </c>
      <c r="K7" s="44">
        <f>'Capex'!K13*0.5</f>
        <v/>
      </c>
      <c r="L7" s="44">
        <f>'Capex'!L13*0.5</f>
        <v/>
      </c>
      <c r="M7" s="44">
        <f>'Capex'!M13*0.5</f>
        <v/>
      </c>
      <c r="N7" s="44">
        <f>'Capex'!N13*0.5</f>
        <v/>
      </c>
      <c r="O7" s="44">
        <f>'Capex'!O13*0.5</f>
        <v/>
      </c>
      <c r="P7" s="44">
        <f>'Capex'!P13*0.5</f>
        <v/>
      </c>
    </row>
    <row r="8">
      <c r="A8" s="17" t="inlineStr">
        <is>
          <t xml:space="preserve">  − Disposals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44" t="n">
        <v>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0</v>
      </c>
      <c r="M8" s="44" t="n">
        <v>0</v>
      </c>
      <c r="N8" s="44" t="n">
        <v>0</v>
      </c>
      <c r="O8" s="44" t="n">
        <v>0</v>
      </c>
      <c r="P8" s="44" t="n">
        <v>0</v>
      </c>
    </row>
    <row r="9">
      <c r="A9" s="17" t="inlineStr">
        <is>
          <t xml:space="preserve">  Closing Gross PP&amp;E</t>
        </is>
      </c>
      <c r="B9" s="26">
        <f>B6+B7-B8</f>
        <v/>
      </c>
      <c r="C9" s="26">
        <f>C6+C7-C8</f>
        <v/>
      </c>
      <c r="D9" s="26">
        <f>D6+D7-D8</f>
        <v/>
      </c>
      <c r="E9" s="26">
        <f>E6+E7-E8</f>
        <v/>
      </c>
      <c r="F9" s="26">
        <f>F6+F7-F8</f>
        <v/>
      </c>
      <c r="G9" s="44">
        <f>G6+G7-G8</f>
        <v/>
      </c>
      <c r="H9" s="44">
        <f>H6+H7-H8</f>
        <v/>
      </c>
      <c r="I9" s="44">
        <f>I6+I7-I8</f>
        <v/>
      </c>
      <c r="J9" s="44">
        <f>J6+J7-J8</f>
        <v/>
      </c>
      <c r="K9" s="44">
        <f>K6+K7-K8</f>
        <v/>
      </c>
      <c r="L9" s="44">
        <f>L6+L7-L8</f>
        <v/>
      </c>
      <c r="M9" s="44">
        <f>M6+M7-M8</f>
        <v/>
      </c>
      <c r="N9" s="44">
        <f>N6+N7-N8</f>
        <v/>
      </c>
      <c r="O9" s="44">
        <f>O6+O7-O8</f>
        <v/>
      </c>
      <c r="P9" s="44">
        <f>P6+P7-P8</f>
        <v/>
      </c>
    </row>
    <row r="10">
      <c r="A10" s="17" t="inlineStr">
        <is>
          <t xml:space="preserve">  Opening Accum. D&amp;A</t>
        </is>
      </c>
      <c r="B10" s="26" t="n">
        <v>1067</v>
      </c>
      <c r="C10" s="26">
        <f>B12</f>
        <v/>
      </c>
      <c r="D10" s="26">
        <f>C12</f>
        <v/>
      </c>
      <c r="E10" s="26">
        <f>D12</f>
        <v/>
      </c>
      <c r="F10" s="26">
        <f>E12</f>
        <v/>
      </c>
      <c r="G10" s="44">
        <f>F12</f>
        <v/>
      </c>
      <c r="H10" s="44">
        <f>G12</f>
        <v/>
      </c>
      <c r="I10" s="44">
        <f>H12</f>
        <v/>
      </c>
      <c r="J10" s="44">
        <f>I12</f>
        <v/>
      </c>
      <c r="K10" s="44">
        <f>J12</f>
        <v/>
      </c>
      <c r="L10" s="44">
        <f>K12</f>
        <v/>
      </c>
      <c r="M10" s="44">
        <f>L12</f>
        <v/>
      </c>
      <c r="N10" s="44">
        <f>M12</f>
        <v/>
      </c>
      <c r="O10" s="44">
        <f>N12</f>
        <v/>
      </c>
      <c r="P10" s="44">
        <f>O12</f>
        <v/>
      </c>
    </row>
    <row r="11">
      <c r="A11" s="17" t="inlineStr">
        <is>
          <t xml:space="preserve">  D&amp;A Charge (closing gross / life)</t>
        </is>
      </c>
      <c r="B11" s="26">
        <f>B9/40</f>
        <v/>
      </c>
      <c r="C11" s="26">
        <f>C9/40</f>
        <v/>
      </c>
      <c r="D11" s="26">
        <f>D9/40</f>
        <v/>
      </c>
      <c r="E11" s="26">
        <f>E9/40</f>
        <v/>
      </c>
      <c r="F11" s="26">
        <f>F9/40</f>
        <v/>
      </c>
      <c r="G11" s="44">
        <f>G9/40</f>
        <v/>
      </c>
      <c r="H11" s="44">
        <f>H9/40</f>
        <v/>
      </c>
      <c r="I11" s="44">
        <f>I9/40</f>
        <v/>
      </c>
      <c r="J11" s="44">
        <f>J9/40</f>
        <v/>
      </c>
      <c r="K11" s="44">
        <f>K9/40</f>
        <v/>
      </c>
      <c r="L11" s="44">
        <f>L9/40</f>
        <v/>
      </c>
      <c r="M11" s="44">
        <f>M9/40</f>
        <v/>
      </c>
      <c r="N11" s="44">
        <f>N9/40</f>
        <v/>
      </c>
      <c r="O11" s="44">
        <f>O9/40</f>
        <v/>
      </c>
      <c r="P11" s="44">
        <f>P9/40</f>
        <v/>
      </c>
    </row>
    <row r="12">
      <c r="A12" s="17" t="inlineStr">
        <is>
          <t xml:space="preserve">  Closing Accum. D&amp;A</t>
        </is>
      </c>
      <c r="B12" s="26">
        <f>B10+B11</f>
        <v/>
      </c>
      <c r="C12" s="26">
        <f>C10+C11</f>
        <v/>
      </c>
      <c r="D12" s="26">
        <f>D10+D11</f>
        <v/>
      </c>
      <c r="E12" s="26">
        <f>E10+E11</f>
        <v/>
      </c>
      <c r="F12" s="26">
        <f>F10+F11</f>
        <v/>
      </c>
      <c r="G12" s="44">
        <f>G10+G11</f>
        <v/>
      </c>
      <c r="H12" s="44">
        <f>H10+H11</f>
        <v/>
      </c>
      <c r="I12" s="44">
        <f>I10+I11</f>
        <v/>
      </c>
      <c r="J12" s="44">
        <f>J10+J11</f>
        <v/>
      </c>
      <c r="K12" s="44">
        <f>K10+K11</f>
        <v/>
      </c>
      <c r="L12" s="44">
        <f>L10+L11</f>
        <v/>
      </c>
      <c r="M12" s="44">
        <f>M10+M11</f>
        <v/>
      </c>
      <c r="N12" s="44">
        <f>N10+N11</f>
        <v/>
      </c>
      <c r="O12" s="44">
        <f>O10+O11</f>
        <v/>
      </c>
      <c r="P12" s="44">
        <f>P10+P11</f>
        <v/>
      </c>
    </row>
    <row r="13">
      <c r="A13" s="15" t="inlineStr">
        <is>
          <t>SUBSTATIONS  (Standard Life: 40 yrs)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14">
      <c r="A14" s="17" t="inlineStr">
        <is>
          <t xml:space="preserve">  Opening Gross PP&amp;E</t>
        </is>
      </c>
      <c r="B14" s="26" t="n">
        <v>2400</v>
      </c>
      <c r="C14" s="26">
        <f>B17</f>
        <v/>
      </c>
      <c r="D14" s="26">
        <f>C17</f>
        <v/>
      </c>
      <c r="E14" s="26">
        <f>D17</f>
        <v/>
      </c>
      <c r="F14" s="26">
        <f>E17</f>
        <v/>
      </c>
      <c r="G14" s="44">
        <f>F17</f>
        <v/>
      </c>
      <c r="H14" s="44">
        <f>G17</f>
        <v/>
      </c>
      <c r="I14" s="44">
        <f>H17</f>
        <v/>
      </c>
      <c r="J14" s="44">
        <f>I17</f>
        <v/>
      </c>
      <c r="K14" s="44">
        <f>J17</f>
        <v/>
      </c>
      <c r="L14" s="44">
        <f>K17</f>
        <v/>
      </c>
      <c r="M14" s="44">
        <f>L17</f>
        <v/>
      </c>
      <c r="N14" s="44">
        <f>M17</f>
        <v/>
      </c>
      <c r="O14" s="44">
        <f>N17</f>
        <v/>
      </c>
      <c r="P14" s="44">
        <f>O17</f>
        <v/>
      </c>
    </row>
    <row r="15">
      <c r="A15" s="17" t="inlineStr">
        <is>
          <t xml:space="preserve">  + Additions (incurred basis × class %)</t>
        </is>
      </c>
      <c r="B15" s="26">
        <f>'Capex'!B13*0.3</f>
        <v/>
      </c>
      <c r="C15" s="26">
        <f>'Capex'!C13*0.3</f>
        <v/>
      </c>
      <c r="D15" s="26">
        <f>'Capex'!D13*0.3</f>
        <v/>
      </c>
      <c r="E15" s="26">
        <f>'Capex'!E13*0.3</f>
        <v/>
      </c>
      <c r="F15" s="26">
        <f>'Capex'!F13*0.3</f>
        <v/>
      </c>
      <c r="G15" s="44">
        <f>'Capex'!G13*0.3</f>
        <v/>
      </c>
      <c r="H15" s="44">
        <f>'Capex'!H13*0.3</f>
        <v/>
      </c>
      <c r="I15" s="44">
        <f>'Capex'!I13*0.3</f>
        <v/>
      </c>
      <c r="J15" s="44">
        <f>'Capex'!J13*0.3</f>
        <v/>
      </c>
      <c r="K15" s="44">
        <f>'Capex'!K13*0.3</f>
        <v/>
      </c>
      <c r="L15" s="44">
        <f>'Capex'!L13*0.3</f>
        <v/>
      </c>
      <c r="M15" s="44">
        <f>'Capex'!M13*0.3</f>
        <v/>
      </c>
      <c r="N15" s="44">
        <f>'Capex'!N13*0.3</f>
        <v/>
      </c>
      <c r="O15" s="44">
        <f>'Capex'!O13*0.3</f>
        <v/>
      </c>
      <c r="P15" s="44">
        <f>'Capex'!P13*0.3</f>
        <v/>
      </c>
    </row>
    <row r="16">
      <c r="A16" s="17" t="inlineStr">
        <is>
          <t xml:space="preserve">  − Disposals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0</v>
      </c>
      <c r="M16" s="44" t="n">
        <v>0</v>
      </c>
      <c r="N16" s="44" t="n">
        <v>0</v>
      </c>
      <c r="O16" s="44" t="n">
        <v>0</v>
      </c>
      <c r="P16" s="44" t="n">
        <v>0</v>
      </c>
    </row>
    <row r="17">
      <c r="A17" s="17" t="inlineStr">
        <is>
          <t xml:space="preserve">  Closing Gross PP&amp;E</t>
        </is>
      </c>
      <c r="B17" s="26">
        <f>B14+B15-B16</f>
        <v/>
      </c>
      <c r="C17" s="26">
        <f>C14+C15-C16</f>
        <v/>
      </c>
      <c r="D17" s="26">
        <f>D14+D15-D16</f>
        <v/>
      </c>
      <c r="E17" s="26">
        <f>E14+E15-E16</f>
        <v/>
      </c>
      <c r="F17" s="26">
        <f>F14+F15-F16</f>
        <v/>
      </c>
      <c r="G17" s="44">
        <f>G14+G15-G16</f>
        <v/>
      </c>
      <c r="H17" s="44">
        <f>H14+H15-H16</f>
        <v/>
      </c>
      <c r="I17" s="44">
        <f>I14+I15-I16</f>
        <v/>
      </c>
      <c r="J17" s="44">
        <f>J14+J15-J16</f>
        <v/>
      </c>
      <c r="K17" s="44">
        <f>K14+K15-K16</f>
        <v/>
      </c>
      <c r="L17" s="44">
        <f>L14+L15-L16</f>
        <v/>
      </c>
      <c r="M17" s="44">
        <f>M14+M15-M16</f>
        <v/>
      </c>
      <c r="N17" s="44">
        <f>N14+N15-N16</f>
        <v/>
      </c>
      <c r="O17" s="44">
        <f>O14+O15-O16</f>
        <v/>
      </c>
      <c r="P17" s="44">
        <f>P14+P15-P16</f>
        <v/>
      </c>
    </row>
    <row r="18">
      <c r="A18" s="17" t="inlineStr">
        <is>
          <t xml:space="preserve">  Opening Accum. D&amp;A</t>
        </is>
      </c>
      <c r="B18" s="26" t="n">
        <v>800</v>
      </c>
      <c r="C18" s="26">
        <f>B20</f>
        <v/>
      </c>
      <c r="D18" s="26">
        <f>C20</f>
        <v/>
      </c>
      <c r="E18" s="26">
        <f>D20</f>
        <v/>
      </c>
      <c r="F18" s="26">
        <f>E20</f>
        <v/>
      </c>
      <c r="G18" s="44">
        <f>F20</f>
        <v/>
      </c>
      <c r="H18" s="44">
        <f>G20</f>
        <v/>
      </c>
      <c r="I18" s="44">
        <f>H20</f>
        <v/>
      </c>
      <c r="J18" s="44">
        <f>I20</f>
        <v/>
      </c>
      <c r="K18" s="44">
        <f>J20</f>
        <v/>
      </c>
      <c r="L18" s="44">
        <f>K20</f>
        <v/>
      </c>
      <c r="M18" s="44">
        <f>L20</f>
        <v/>
      </c>
      <c r="N18" s="44">
        <f>M20</f>
        <v/>
      </c>
      <c r="O18" s="44">
        <f>N20</f>
        <v/>
      </c>
      <c r="P18" s="44">
        <f>O20</f>
        <v/>
      </c>
    </row>
    <row r="19">
      <c r="A19" s="17" t="inlineStr">
        <is>
          <t xml:space="preserve">  D&amp;A Charge (closing gross / life)</t>
        </is>
      </c>
      <c r="B19" s="26">
        <f>B17/40</f>
        <v/>
      </c>
      <c r="C19" s="26">
        <f>C17/40</f>
        <v/>
      </c>
      <c r="D19" s="26">
        <f>D17/40</f>
        <v/>
      </c>
      <c r="E19" s="26">
        <f>E17/40</f>
        <v/>
      </c>
      <c r="F19" s="26">
        <f>F17/40</f>
        <v/>
      </c>
      <c r="G19" s="44">
        <f>G17/40</f>
        <v/>
      </c>
      <c r="H19" s="44">
        <f>H17/40</f>
        <v/>
      </c>
      <c r="I19" s="44">
        <f>I17/40</f>
        <v/>
      </c>
      <c r="J19" s="44">
        <f>J17/40</f>
        <v/>
      </c>
      <c r="K19" s="44">
        <f>K17/40</f>
        <v/>
      </c>
      <c r="L19" s="44">
        <f>L17/40</f>
        <v/>
      </c>
      <c r="M19" s="44">
        <f>M17/40</f>
        <v/>
      </c>
      <c r="N19" s="44">
        <f>N17/40</f>
        <v/>
      </c>
      <c r="O19" s="44">
        <f>O17/40</f>
        <v/>
      </c>
      <c r="P19" s="44">
        <f>P17/40</f>
        <v/>
      </c>
    </row>
    <row r="20">
      <c r="A20" s="17" t="inlineStr">
        <is>
          <t xml:space="preserve">  Closing Accum. D&amp;A</t>
        </is>
      </c>
      <c r="B20" s="26">
        <f>B18+B19</f>
        <v/>
      </c>
      <c r="C20" s="26">
        <f>C18+C19</f>
        <v/>
      </c>
      <c r="D20" s="26">
        <f>D18+D19</f>
        <v/>
      </c>
      <c r="E20" s="26">
        <f>E18+E19</f>
        <v/>
      </c>
      <c r="F20" s="26">
        <f>F18+F19</f>
        <v/>
      </c>
      <c r="G20" s="44">
        <f>G18+G19</f>
        <v/>
      </c>
      <c r="H20" s="44">
        <f>H18+H19</f>
        <v/>
      </c>
      <c r="I20" s="44">
        <f>I18+I19</f>
        <v/>
      </c>
      <c r="J20" s="44">
        <f>J18+J19</f>
        <v/>
      </c>
      <c r="K20" s="44">
        <f>K18+K19</f>
        <v/>
      </c>
      <c r="L20" s="44">
        <f>L18+L19</f>
        <v/>
      </c>
      <c r="M20" s="44">
        <f>M18+M19</f>
        <v/>
      </c>
      <c r="N20" s="44">
        <f>N18+N19</f>
        <v/>
      </c>
      <c r="O20" s="44">
        <f>O18+O19</f>
        <v/>
      </c>
      <c r="P20" s="44">
        <f>P18+P19</f>
        <v/>
      </c>
    </row>
    <row r="21">
      <c r="A21" s="15" t="inlineStr">
        <is>
          <t>TRANSFORMERS  (Standard Life: 30 yrs)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</row>
    <row r="22">
      <c r="A22" s="17" t="inlineStr">
        <is>
          <t xml:space="preserve">  Opening Gross PP&amp;E</t>
        </is>
      </c>
      <c r="B22" s="26" t="n">
        <v>1200</v>
      </c>
      <c r="C22" s="26">
        <f>B25</f>
        <v/>
      </c>
      <c r="D22" s="26">
        <f>C25</f>
        <v/>
      </c>
      <c r="E22" s="26">
        <f>D25</f>
        <v/>
      </c>
      <c r="F22" s="26">
        <f>E25</f>
        <v/>
      </c>
      <c r="G22" s="44">
        <f>F25</f>
        <v/>
      </c>
      <c r="H22" s="44">
        <f>G25</f>
        <v/>
      </c>
      <c r="I22" s="44">
        <f>H25</f>
        <v/>
      </c>
      <c r="J22" s="44">
        <f>I25</f>
        <v/>
      </c>
      <c r="K22" s="44">
        <f>J25</f>
        <v/>
      </c>
      <c r="L22" s="44">
        <f>K25</f>
        <v/>
      </c>
      <c r="M22" s="44">
        <f>L25</f>
        <v/>
      </c>
      <c r="N22" s="44">
        <f>M25</f>
        <v/>
      </c>
      <c r="O22" s="44">
        <f>N25</f>
        <v/>
      </c>
      <c r="P22" s="44">
        <f>O25</f>
        <v/>
      </c>
    </row>
    <row r="23">
      <c r="A23" s="17" t="inlineStr">
        <is>
          <t xml:space="preserve">  + Additions (incurred basis × class %)</t>
        </is>
      </c>
      <c r="B23" s="26">
        <f>'Capex'!B13*0.1</f>
        <v/>
      </c>
      <c r="C23" s="26">
        <f>'Capex'!C13*0.1</f>
        <v/>
      </c>
      <c r="D23" s="26">
        <f>'Capex'!D13*0.1</f>
        <v/>
      </c>
      <c r="E23" s="26">
        <f>'Capex'!E13*0.1</f>
        <v/>
      </c>
      <c r="F23" s="26">
        <f>'Capex'!F13*0.1</f>
        <v/>
      </c>
      <c r="G23" s="44">
        <f>'Capex'!G13*0.1</f>
        <v/>
      </c>
      <c r="H23" s="44">
        <f>'Capex'!H13*0.1</f>
        <v/>
      </c>
      <c r="I23" s="44">
        <f>'Capex'!I13*0.1</f>
        <v/>
      </c>
      <c r="J23" s="44">
        <f>'Capex'!J13*0.1</f>
        <v/>
      </c>
      <c r="K23" s="44">
        <f>'Capex'!K13*0.1</f>
        <v/>
      </c>
      <c r="L23" s="44">
        <f>'Capex'!L13*0.1</f>
        <v/>
      </c>
      <c r="M23" s="44">
        <f>'Capex'!M13*0.1</f>
        <v/>
      </c>
      <c r="N23" s="44">
        <f>'Capex'!N13*0.1</f>
        <v/>
      </c>
      <c r="O23" s="44">
        <f>'Capex'!O13*0.1</f>
        <v/>
      </c>
      <c r="P23" s="44">
        <f>'Capex'!P13*0.1</f>
        <v/>
      </c>
    </row>
    <row r="24">
      <c r="A24" s="17" t="inlineStr">
        <is>
          <t xml:space="preserve">  − Disposals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44" t="n">
        <v>0</v>
      </c>
      <c r="H24" s="44" t="n">
        <v>0</v>
      </c>
      <c r="I24" s="44" t="n">
        <v>0</v>
      </c>
      <c r="J24" s="44" t="n">
        <v>0</v>
      </c>
      <c r="K24" s="44" t="n">
        <v>0</v>
      </c>
      <c r="L24" s="44" t="n">
        <v>0</v>
      </c>
      <c r="M24" s="44" t="n">
        <v>0</v>
      </c>
      <c r="N24" s="44" t="n">
        <v>0</v>
      </c>
      <c r="O24" s="44" t="n">
        <v>0</v>
      </c>
      <c r="P24" s="44" t="n">
        <v>0</v>
      </c>
    </row>
    <row r="25">
      <c r="A25" s="17" t="inlineStr">
        <is>
          <t xml:space="preserve">  Closing Gross PP&amp;E</t>
        </is>
      </c>
      <c r="B25" s="26">
        <f>B22+B23-B24</f>
        <v/>
      </c>
      <c r="C25" s="26">
        <f>C22+C23-C24</f>
        <v/>
      </c>
      <c r="D25" s="26">
        <f>D22+D23-D24</f>
        <v/>
      </c>
      <c r="E25" s="26">
        <f>E22+E23-E24</f>
        <v/>
      </c>
      <c r="F25" s="26">
        <f>F22+F23-F24</f>
        <v/>
      </c>
      <c r="G25" s="44">
        <f>G22+G23-G24</f>
        <v/>
      </c>
      <c r="H25" s="44">
        <f>H22+H23-H24</f>
        <v/>
      </c>
      <c r="I25" s="44">
        <f>I22+I23-I24</f>
        <v/>
      </c>
      <c r="J25" s="44">
        <f>J22+J23-J24</f>
        <v/>
      </c>
      <c r="K25" s="44">
        <f>K22+K23-K24</f>
        <v/>
      </c>
      <c r="L25" s="44">
        <f>L22+L23-L24</f>
        <v/>
      </c>
      <c r="M25" s="44">
        <f>M22+M23-M24</f>
        <v/>
      </c>
      <c r="N25" s="44">
        <f>N22+N23-N24</f>
        <v/>
      </c>
      <c r="O25" s="44">
        <f>O22+O23-O24</f>
        <v/>
      </c>
      <c r="P25" s="44">
        <f>P22+P23-P24</f>
        <v/>
      </c>
    </row>
    <row r="26">
      <c r="A26" s="17" t="inlineStr">
        <is>
          <t xml:space="preserve">  Opening Accum. D&amp;A</t>
        </is>
      </c>
      <c r="B26" s="26" t="n">
        <v>480</v>
      </c>
      <c r="C26" s="26">
        <f>B28</f>
        <v/>
      </c>
      <c r="D26" s="26">
        <f>C28</f>
        <v/>
      </c>
      <c r="E26" s="26">
        <f>D28</f>
        <v/>
      </c>
      <c r="F26" s="26">
        <f>E28</f>
        <v/>
      </c>
      <c r="G26" s="44">
        <f>F28</f>
        <v/>
      </c>
      <c r="H26" s="44">
        <f>G28</f>
        <v/>
      </c>
      <c r="I26" s="44">
        <f>H28</f>
        <v/>
      </c>
      <c r="J26" s="44">
        <f>I28</f>
        <v/>
      </c>
      <c r="K26" s="44">
        <f>J28</f>
        <v/>
      </c>
      <c r="L26" s="44">
        <f>K28</f>
        <v/>
      </c>
      <c r="M26" s="44">
        <f>L28</f>
        <v/>
      </c>
      <c r="N26" s="44">
        <f>M28</f>
        <v/>
      </c>
      <c r="O26" s="44">
        <f>N28</f>
        <v/>
      </c>
      <c r="P26" s="44">
        <f>O28</f>
        <v/>
      </c>
    </row>
    <row r="27">
      <c r="A27" s="17" t="inlineStr">
        <is>
          <t xml:space="preserve">  D&amp;A Charge (closing gross / life)</t>
        </is>
      </c>
      <c r="B27" s="26">
        <f>B25/30</f>
        <v/>
      </c>
      <c r="C27" s="26">
        <f>C25/30</f>
        <v/>
      </c>
      <c r="D27" s="26">
        <f>D25/30</f>
        <v/>
      </c>
      <c r="E27" s="26">
        <f>E25/30</f>
        <v/>
      </c>
      <c r="F27" s="26">
        <f>F25/30</f>
        <v/>
      </c>
      <c r="G27" s="44">
        <f>G25/30</f>
        <v/>
      </c>
      <c r="H27" s="44">
        <f>H25/30</f>
        <v/>
      </c>
      <c r="I27" s="44">
        <f>I25/30</f>
        <v/>
      </c>
      <c r="J27" s="44">
        <f>J25/30</f>
        <v/>
      </c>
      <c r="K27" s="44">
        <f>K25/30</f>
        <v/>
      </c>
      <c r="L27" s="44">
        <f>L25/30</f>
        <v/>
      </c>
      <c r="M27" s="44">
        <f>M25/30</f>
        <v/>
      </c>
      <c r="N27" s="44">
        <f>N25/30</f>
        <v/>
      </c>
      <c r="O27" s="44">
        <f>O25/30</f>
        <v/>
      </c>
      <c r="P27" s="44">
        <f>P25/30</f>
        <v/>
      </c>
    </row>
    <row r="28">
      <c r="A28" s="17" t="inlineStr">
        <is>
          <t xml:space="preserve">  Closing Accum. D&amp;A</t>
        </is>
      </c>
      <c r="B28" s="26">
        <f>B26+B27</f>
        <v/>
      </c>
      <c r="C28" s="26">
        <f>C26+C27</f>
        <v/>
      </c>
      <c r="D28" s="26">
        <f>D26+D27</f>
        <v/>
      </c>
      <c r="E28" s="26">
        <f>E26+E27</f>
        <v/>
      </c>
      <c r="F28" s="26">
        <f>F26+F27</f>
        <v/>
      </c>
      <c r="G28" s="44">
        <f>G26+G27</f>
        <v/>
      </c>
      <c r="H28" s="44">
        <f>H26+H27</f>
        <v/>
      </c>
      <c r="I28" s="44">
        <f>I26+I27</f>
        <v/>
      </c>
      <c r="J28" s="44">
        <f>J26+J27</f>
        <v/>
      </c>
      <c r="K28" s="44">
        <f>K26+K27</f>
        <v/>
      </c>
      <c r="L28" s="44">
        <f>L26+L27</f>
        <v/>
      </c>
      <c r="M28" s="44">
        <f>M26+M27</f>
        <v/>
      </c>
      <c r="N28" s="44">
        <f>N26+N27</f>
        <v/>
      </c>
      <c r="O28" s="44">
        <f>O26+O27</f>
        <v/>
      </c>
      <c r="P28" s="44">
        <f>P26+P27</f>
        <v/>
      </c>
    </row>
    <row r="29">
      <c r="A29" s="15" t="inlineStr">
        <is>
          <t>SCADA &amp; CONTROL  (Standard Life: 15 yrs)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Opening Gross PP&amp;E</t>
        </is>
      </c>
      <c r="B30" s="26" t="n">
        <v>600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44">
        <f>F33</f>
        <v/>
      </c>
      <c r="H30" s="44">
        <f>G33</f>
        <v/>
      </c>
      <c r="I30" s="44">
        <f>H33</f>
        <v/>
      </c>
      <c r="J30" s="44">
        <f>I33</f>
        <v/>
      </c>
      <c r="K30" s="44">
        <f>J33</f>
        <v/>
      </c>
      <c r="L30" s="44">
        <f>K33</f>
        <v/>
      </c>
      <c r="M30" s="44">
        <f>L33</f>
        <v/>
      </c>
      <c r="N30" s="44">
        <f>M33</f>
        <v/>
      </c>
      <c r="O30" s="44">
        <f>N33</f>
        <v/>
      </c>
      <c r="P30" s="44">
        <f>O33</f>
        <v/>
      </c>
    </row>
    <row r="31">
      <c r="A31" s="17" t="inlineStr">
        <is>
          <t xml:space="preserve">  + Additions (incurred basis × class %)</t>
        </is>
      </c>
      <c r="B31" s="26">
        <f>'Capex'!B13*0.07</f>
        <v/>
      </c>
      <c r="C31" s="26">
        <f>'Capex'!C13*0.07</f>
        <v/>
      </c>
      <c r="D31" s="26">
        <f>'Capex'!D13*0.07</f>
        <v/>
      </c>
      <c r="E31" s="26">
        <f>'Capex'!E13*0.07</f>
        <v/>
      </c>
      <c r="F31" s="26">
        <f>'Capex'!F13*0.07</f>
        <v/>
      </c>
      <c r="G31" s="44">
        <f>'Capex'!G13*0.07</f>
        <v/>
      </c>
      <c r="H31" s="44">
        <f>'Capex'!H13*0.07</f>
        <v/>
      </c>
      <c r="I31" s="44">
        <f>'Capex'!I13*0.07</f>
        <v/>
      </c>
      <c r="J31" s="44">
        <f>'Capex'!J13*0.07</f>
        <v/>
      </c>
      <c r="K31" s="44">
        <f>'Capex'!K13*0.07</f>
        <v/>
      </c>
      <c r="L31" s="44">
        <f>'Capex'!L13*0.07</f>
        <v/>
      </c>
      <c r="M31" s="44">
        <f>'Capex'!M13*0.07</f>
        <v/>
      </c>
      <c r="N31" s="44">
        <f>'Capex'!N13*0.07</f>
        <v/>
      </c>
      <c r="O31" s="44">
        <f>'Capex'!O13*0.07</f>
        <v/>
      </c>
      <c r="P31" s="44">
        <f>'Capex'!P13*0.07</f>
        <v/>
      </c>
    </row>
    <row r="32">
      <c r="A32" s="17" t="inlineStr">
        <is>
          <t xml:space="preserve">  − Disposals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44" t="n">
        <v>0</v>
      </c>
      <c r="H32" s="44" t="n">
        <v>0</v>
      </c>
      <c r="I32" s="44" t="n">
        <v>0</v>
      </c>
      <c r="J32" s="44" t="n">
        <v>0</v>
      </c>
      <c r="K32" s="44" t="n">
        <v>0</v>
      </c>
      <c r="L32" s="44" t="n">
        <v>0</v>
      </c>
      <c r="M32" s="44" t="n">
        <v>0</v>
      </c>
      <c r="N32" s="44" t="n">
        <v>0</v>
      </c>
      <c r="O32" s="44" t="n">
        <v>0</v>
      </c>
      <c r="P32" s="44" t="n">
        <v>0</v>
      </c>
    </row>
    <row r="33">
      <c r="A33" s="17" t="inlineStr">
        <is>
          <t xml:space="preserve">  Closing Gross PP&amp;E</t>
        </is>
      </c>
      <c r="B33" s="26">
        <f>B30+B31-B32</f>
        <v/>
      </c>
      <c r="C33" s="26">
        <f>C30+C31-C32</f>
        <v/>
      </c>
      <c r="D33" s="26">
        <f>D30+D31-D32</f>
        <v/>
      </c>
      <c r="E33" s="26">
        <f>E30+E31-E32</f>
        <v/>
      </c>
      <c r="F33" s="26">
        <f>F30+F31-F32</f>
        <v/>
      </c>
      <c r="G33" s="44">
        <f>G30+G31-G32</f>
        <v/>
      </c>
      <c r="H33" s="44">
        <f>H30+H31-H32</f>
        <v/>
      </c>
      <c r="I33" s="44">
        <f>I30+I31-I32</f>
        <v/>
      </c>
      <c r="J33" s="44">
        <f>J30+J31-J32</f>
        <v/>
      </c>
      <c r="K33" s="44">
        <f>K30+K31-K32</f>
        <v/>
      </c>
      <c r="L33" s="44">
        <f>L30+L31-L32</f>
        <v/>
      </c>
      <c r="M33" s="44">
        <f>M30+M31-M32</f>
        <v/>
      </c>
      <c r="N33" s="44">
        <f>N30+N31-N32</f>
        <v/>
      </c>
      <c r="O33" s="44">
        <f>O30+O31-O32</f>
        <v/>
      </c>
      <c r="P33" s="44">
        <f>P30+P31-P32</f>
        <v/>
      </c>
    </row>
    <row r="34">
      <c r="A34" s="17" t="inlineStr">
        <is>
          <t xml:space="preserve">  Opening Accum. D&amp;A</t>
        </is>
      </c>
      <c r="B34" s="26" t="n">
        <v>180</v>
      </c>
      <c r="C34" s="26">
        <f>B36</f>
        <v/>
      </c>
      <c r="D34" s="26">
        <f>C36</f>
        <v/>
      </c>
      <c r="E34" s="26">
        <f>D36</f>
        <v/>
      </c>
      <c r="F34" s="26">
        <f>E36</f>
        <v/>
      </c>
      <c r="G34" s="44">
        <f>F36</f>
        <v/>
      </c>
      <c r="H34" s="44">
        <f>G36</f>
        <v/>
      </c>
      <c r="I34" s="44">
        <f>H36</f>
        <v/>
      </c>
      <c r="J34" s="44">
        <f>I36</f>
        <v/>
      </c>
      <c r="K34" s="44">
        <f>J36</f>
        <v/>
      </c>
      <c r="L34" s="44">
        <f>K36</f>
        <v/>
      </c>
      <c r="M34" s="44">
        <f>L36</f>
        <v/>
      </c>
      <c r="N34" s="44">
        <f>M36</f>
        <v/>
      </c>
      <c r="O34" s="44">
        <f>N36</f>
        <v/>
      </c>
      <c r="P34" s="44">
        <f>O36</f>
        <v/>
      </c>
    </row>
    <row r="35">
      <c r="A35" s="17" t="inlineStr">
        <is>
          <t xml:space="preserve">  D&amp;A Charge (closing gross / life)</t>
        </is>
      </c>
      <c r="B35" s="26">
        <f>B33/15</f>
        <v/>
      </c>
      <c r="C35" s="26">
        <f>C33/15</f>
        <v/>
      </c>
      <c r="D35" s="26">
        <f>D33/15</f>
        <v/>
      </c>
      <c r="E35" s="26">
        <f>E33/15</f>
        <v/>
      </c>
      <c r="F35" s="26">
        <f>F33/15</f>
        <v/>
      </c>
      <c r="G35" s="44">
        <f>G33/15</f>
        <v/>
      </c>
      <c r="H35" s="44">
        <f>H33/15</f>
        <v/>
      </c>
      <c r="I35" s="44">
        <f>I33/15</f>
        <v/>
      </c>
      <c r="J35" s="44">
        <f>J33/15</f>
        <v/>
      </c>
      <c r="K35" s="44">
        <f>K33/15</f>
        <v/>
      </c>
      <c r="L35" s="44">
        <f>L33/15</f>
        <v/>
      </c>
      <c r="M35" s="44">
        <f>M33/15</f>
        <v/>
      </c>
      <c r="N35" s="44">
        <f>N33/15</f>
        <v/>
      </c>
      <c r="O35" s="44">
        <f>O33/15</f>
        <v/>
      </c>
      <c r="P35" s="44">
        <f>P33/15</f>
        <v/>
      </c>
    </row>
    <row r="36">
      <c r="A36" s="17" t="inlineStr">
        <is>
          <t xml:space="preserve">  Closing Accum. D&amp;A</t>
        </is>
      </c>
      <c r="B36" s="26">
        <f>B34+B35</f>
        <v/>
      </c>
      <c r="C36" s="26">
        <f>C34+C35</f>
        <v/>
      </c>
      <c r="D36" s="26">
        <f>D34+D35</f>
        <v/>
      </c>
      <c r="E36" s="26">
        <f>E34+E35</f>
        <v/>
      </c>
      <c r="F36" s="26">
        <f>F34+F35</f>
        <v/>
      </c>
      <c r="G36" s="44">
        <f>G34+G35</f>
        <v/>
      </c>
      <c r="H36" s="44">
        <f>H34+H35</f>
        <v/>
      </c>
      <c r="I36" s="44">
        <f>I34+I35</f>
        <v/>
      </c>
      <c r="J36" s="44">
        <f>J34+J35</f>
        <v/>
      </c>
      <c r="K36" s="44">
        <f>K34+K35</f>
        <v/>
      </c>
      <c r="L36" s="44">
        <f>L34+L35</f>
        <v/>
      </c>
      <c r="M36" s="44">
        <f>M34+M35</f>
        <v/>
      </c>
      <c r="N36" s="44">
        <f>N34+N35</f>
        <v/>
      </c>
      <c r="O36" s="44">
        <f>O34+O35</f>
        <v/>
      </c>
      <c r="P36" s="44">
        <f>P34+P35</f>
        <v/>
      </c>
    </row>
    <row r="37">
      <c r="A37" s="15" t="inlineStr">
        <is>
          <t>OTHER EQUIPMENT  (Standard Life: 20 yrs)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</row>
    <row r="38">
      <c r="A38" s="17" t="inlineStr">
        <is>
          <t xml:space="preserve">  Opening Gross PP&amp;E</t>
        </is>
      </c>
      <c r="B38" s="26" t="n">
        <v>400</v>
      </c>
      <c r="C38" s="26">
        <f>B41</f>
        <v/>
      </c>
      <c r="D38" s="26">
        <f>C41</f>
        <v/>
      </c>
      <c r="E38" s="26">
        <f>D41</f>
        <v/>
      </c>
      <c r="F38" s="26">
        <f>E41</f>
        <v/>
      </c>
      <c r="G38" s="44">
        <f>F41</f>
        <v/>
      </c>
      <c r="H38" s="44">
        <f>G41</f>
        <v/>
      </c>
      <c r="I38" s="44">
        <f>H41</f>
        <v/>
      </c>
      <c r="J38" s="44">
        <f>I41</f>
        <v/>
      </c>
      <c r="K38" s="44">
        <f>J41</f>
        <v/>
      </c>
      <c r="L38" s="44">
        <f>K41</f>
        <v/>
      </c>
      <c r="M38" s="44">
        <f>L41</f>
        <v/>
      </c>
      <c r="N38" s="44">
        <f>M41</f>
        <v/>
      </c>
      <c r="O38" s="44">
        <f>N41</f>
        <v/>
      </c>
      <c r="P38" s="44">
        <f>O41</f>
        <v/>
      </c>
    </row>
    <row r="39">
      <c r="A39" s="17" t="inlineStr">
        <is>
          <t xml:space="preserve">  + Additions (incurred basis × class %)</t>
        </is>
      </c>
      <c r="B39" s="26">
        <f>'Capex'!B13*0.03</f>
        <v/>
      </c>
      <c r="C39" s="26">
        <f>'Capex'!C13*0.03</f>
        <v/>
      </c>
      <c r="D39" s="26">
        <f>'Capex'!D13*0.03</f>
        <v/>
      </c>
      <c r="E39" s="26">
        <f>'Capex'!E13*0.03</f>
        <v/>
      </c>
      <c r="F39" s="26">
        <f>'Capex'!F13*0.03</f>
        <v/>
      </c>
      <c r="G39" s="44">
        <f>'Capex'!G13*0.03</f>
        <v/>
      </c>
      <c r="H39" s="44">
        <f>'Capex'!H13*0.03</f>
        <v/>
      </c>
      <c r="I39" s="44">
        <f>'Capex'!I13*0.03</f>
        <v/>
      </c>
      <c r="J39" s="44">
        <f>'Capex'!J13*0.03</f>
        <v/>
      </c>
      <c r="K39" s="44">
        <f>'Capex'!K13*0.03</f>
        <v/>
      </c>
      <c r="L39" s="44">
        <f>'Capex'!L13*0.03</f>
        <v/>
      </c>
      <c r="M39" s="44">
        <f>'Capex'!M13*0.03</f>
        <v/>
      </c>
      <c r="N39" s="44">
        <f>'Capex'!N13*0.03</f>
        <v/>
      </c>
      <c r="O39" s="44">
        <f>'Capex'!O13*0.03</f>
        <v/>
      </c>
      <c r="P39" s="44">
        <f>'Capex'!P13*0.03</f>
        <v/>
      </c>
    </row>
    <row r="40">
      <c r="A40" s="17" t="inlineStr">
        <is>
          <t xml:space="preserve">  − Disposals</t>
        </is>
      </c>
      <c r="B40" s="26" t="n">
        <v>0</v>
      </c>
      <c r="C40" s="26" t="n">
        <v>0</v>
      </c>
      <c r="D40" s="26" t="n">
        <v>0</v>
      </c>
      <c r="E40" s="26" t="n">
        <v>0</v>
      </c>
      <c r="F40" s="26" t="n">
        <v>0</v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0</v>
      </c>
      <c r="M40" s="44" t="n">
        <v>0</v>
      </c>
      <c r="N40" s="44" t="n">
        <v>0</v>
      </c>
      <c r="O40" s="44" t="n">
        <v>0</v>
      </c>
      <c r="P40" s="44" t="n">
        <v>0</v>
      </c>
    </row>
    <row r="41">
      <c r="A41" s="17" t="inlineStr">
        <is>
          <t xml:space="preserve">  Closing Gross PP&amp;E</t>
        </is>
      </c>
      <c r="B41" s="26">
        <f>B38+B39-B40</f>
        <v/>
      </c>
      <c r="C41" s="26">
        <f>C38+C39-C40</f>
        <v/>
      </c>
      <c r="D41" s="26">
        <f>D38+D39-D40</f>
        <v/>
      </c>
      <c r="E41" s="26">
        <f>E38+E39-E40</f>
        <v/>
      </c>
      <c r="F41" s="26">
        <f>F38+F39-F40</f>
        <v/>
      </c>
      <c r="G41" s="44">
        <f>G38+G39-G40</f>
        <v/>
      </c>
      <c r="H41" s="44">
        <f>H38+H39-H40</f>
        <v/>
      </c>
      <c r="I41" s="44">
        <f>I38+I39-I40</f>
        <v/>
      </c>
      <c r="J41" s="44">
        <f>J38+J39-J40</f>
        <v/>
      </c>
      <c r="K41" s="44">
        <f>K38+K39-K40</f>
        <v/>
      </c>
      <c r="L41" s="44">
        <f>L38+L39-L40</f>
        <v/>
      </c>
      <c r="M41" s="44">
        <f>M38+M39-M40</f>
        <v/>
      </c>
      <c r="N41" s="44">
        <f>N38+N39-N40</f>
        <v/>
      </c>
      <c r="O41" s="44">
        <f>O38+O39-O40</f>
        <v/>
      </c>
      <c r="P41" s="44">
        <f>P38+P39-P40</f>
        <v/>
      </c>
    </row>
    <row r="42">
      <c r="A42" s="17" t="inlineStr">
        <is>
          <t xml:space="preserve">  Opening Accum. D&amp;A</t>
        </is>
      </c>
      <c r="B42" s="26" t="n">
        <v>73</v>
      </c>
      <c r="C42" s="26">
        <f>B44</f>
        <v/>
      </c>
      <c r="D42" s="26">
        <f>C44</f>
        <v/>
      </c>
      <c r="E42" s="26">
        <f>D44</f>
        <v/>
      </c>
      <c r="F42" s="26">
        <f>E44</f>
        <v/>
      </c>
      <c r="G42" s="44">
        <f>F44</f>
        <v/>
      </c>
      <c r="H42" s="44">
        <f>G44</f>
        <v/>
      </c>
      <c r="I42" s="44">
        <f>H44</f>
        <v/>
      </c>
      <c r="J42" s="44">
        <f>I44</f>
        <v/>
      </c>
      <c r="K42" s="44">
        <f>J44</f>
        <v/>
      </c>
      <c r="L42" s="44">
        <f>K44</f>
        <v/>
      </c>
      <c r="M42" s="44">
        <f>L44</f>
        <v/>
      </c>
      <c r="N42" s="44">
        <f>M44</f>
        <v/>
      </c>
      <c r="O42" s="44">
        <f>N44</f>
        <v/>
      </c>
      <c r="P42" s="44">
        <f>O44</f>
        <v/>
      </c>
    </row>
    <row r="43">
      <c r="A43" s="17" t="inlineStr">
        <is>
          <t xml:space="preserve">  D&amp;A Charge (closing gross / life)</t>
        </is>
      </c>
      <c r="B43" s="26">
        <f>B41/20</f>
        <v/>
      </c>
      <c r="C43" s="26">
        <f>C41/20</f>
        <v/>
      </c>
      <c r="D43" s="26">
        <f>D41/20</f>
        <v/>
      </c>
      <c r="E43" s="26">
        <f>E41/20</f>
        <v/>
      </c>
      <c r="F43" s="26">
        <f>F41/20</f>
        <v/>
      </c>
      <c r="G43" s="44">
        <f>G41/20</f>
        <v/>
      </c>
      <c r="H43" s="44">
        <f>H41/20</f>
        <v/>
      </c>
      <c r="I43" s="44">
        <f>I41/20</f>
        <v/>
      </c>
      <c r="J43" s="44">
        <f>J41/20</f>
        <v/>
      </c>
      <c r="K43" s="44">
        <f>K41/20</f>
        <v/>
      </c>
      <c r="L43" s="44">
        <f>L41/20</f>
        <v/>
      </c>
      <c r="M43" s="44">
        <f>M41/20</f>
        <v/>
      </c>
      <c r="N43" s="44">
        <f>N41/20</f>
        <v/>
      </c>
      <c r="O43" s="44">
        <f>O41/20</f>
        <v/>
      </c>
      <c r="P43" s="44">
        <f>P41/20</f>
        <v/>
      </c>
    </row>
    <row r="44">
      <c r="A44" s="17" t="inlineStr">
        <is>
          <t xml:space="preserve">  Closing Accum. D&amp;A</t>
        </is>
      </c>
      <c r="B44" s="26">
        <f>B42+B43</f>
        <v/>
      </c>
      <c r="C44" s="26">
        <f>C42+C43</f>
        <v/>
      </c>
      <c r="D44" s="26">
        <f>D42+D43</f>
        <v/>
      </c>
      <c r="E44" s="26">
        <f>E42+E43</f>
        <v/>
      </c>
      <c r="F44" s="26">
        <f>F42+F43</f>
        <v/>
      </c>
      <c r="G44" s="44">
        <f>G42+G43</f>
        <v/>
      </c>
      <c r="H44" s="44">
        <f>H42+H43</f>
        <v/>
      </c>
      <c r="I44" s="44">
        <f>I42+I43</f>
        <v/>
      </c>
      <c r="J44" s="44">
        <f>J42+J43</f>
        <v/>
      </c>
      <c r="K44" s="44">
        <f>K42+K43</f>
        <v/>
      </c>
      <c r="L44" s="44">
        <f>L42+L43</f>
        <v/>
      </c>
      <c r="M44" s="44">
        <f>M42+M43</f>
        <v/>
      </c>
      <c r="N44" s="44">
        <f>N42+N43</f>
        <v/>
      </c>
      <c r="O44" s="44">
        <f>O42+O43</f>
        <v/>
      </c>
      <c r="P44" s="44">
        <f>P42+P43</f>
        <v/>
      </c>
    </row>
    <row r="46" ht="16" customHeight="1">
      <c r="A46" s="15" t="inlineStr">
        <is>
          <t>CONSOLIDATED TOTALS ($M)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>
      <c r="A47" s="17" t="inlineStr">
        <is>
          <t xml:space="preserve">  Total Gross PP&amp;E</t>
        </is>
      </c>
      <c r="B47" s="45">
        <f>B9+B17+B25+B33+B41</f>
        <v/>
      </c>
      <c r="C47" s="45">
        <f>C9+C17+C25+C33+C41</f>
        <v/>
      </c>
      <c r="D47" s="45">
        <f>D9+D17+D25+D33+D41</f>
        <v/>
      </c>
      <c r="E47" s="45">
        <f>E9+E17+E25+E33+E41</f>
        <v/>
      </c>
      <c r="F47" s="45">
        <f>F9+F17+F25+F33+F41</f>
        <v/>
      </c>
      <c r="G47" s="39">
        <f>G9+G17+G25+G33+G41</f>
        <v/>
      </c>
      <c r="H47" s="39">
        <f>H9+H17+H25+H33+H41</f>
        <v/>
      </c>
      <c r="I47" s="39">
        <f>I9+I17+I25+I33+I41</f>
        <v/>
      </c>
      <c r="J47" s="39">
        <f>J9+J17+J25+J33+J41</f>
        <v/>
      </c>
      <c r="K47" s="39">
        <f>K9+K17+K25+K33+K41</f>
        <v/>
      </c>
      <c r="L47" s="39">
        <f>L9+L17+L25+L33+L41</f>
        <v/>
      </c>
      <c r="M47" s="39">
        <f>M9+M17+M25+M33+M41</f>
        <v/>
      </c>
      <c r="N47" s="39">
        <f>N9+N17+N25+N33+N41</f>
        <v/>
      </c>
      <c r="O47" s="39">
        <f>O9+O17+O25+O33+O41</f>
        <v/>
      </c>
      <c r="P47" s="39">
        <f>P9+P17+P25+P33+P41</f>
        <v/>
      </c>
    </row>
    <row r="48">
      <c r="A48" s="17" t="inlineStr">
        <is>
          <t xml:space="preserve">  Total Accum. D&amp;A</t>
        </is>
      </c>
      <c r="B48" s="45">
        <f>B12+B20+B28+B36+B44</f>
        <v/>
      </c>
      <c r="C48" s="45">
        <f>C12+C20+C28+C36+C44</f>
        <v/>
      </c>
      <c r="D48" s="45">
        <f>D12+D20+D28+D36+D44</f>
        <v/>
      </c>
      <c r="E48" s="45">
        <f>E12+E20+E28+E36+E44</f>
        <v/>
      </c>
      <c r="F48" s="45">
        <f>F12+F20+F28+F36+F44</f>
        <v/>
      </c>
      <c r="G48" s="39">
        <f>G12+G20+G28+G36+G44</f>
        <v/>
      </c>
      <c r="H48" s="39">
        <f>H12+H20+H28+H36+H44</f>
        <v/>
      </c>
      <c r="I48" s="39">
        <f>I12+I20+I28+I36+I44</f>
        <v/>
      </c>
      <c r="J48" s="39">
        <f>J12+J20+J28+J36+J44</f>
        <v/>
      </c>
      <c r="K48" s="39">
        <f>K12+K20+K28+K36+K44</f>
        <v/>
      </c>
      <c r="L48" s="39">
        <f>L12+L20+L28+L36+L44</f>
        <v/>
      </c>
      <c r="M48" s="39">
        <f>M12+M20+M28+M36+M44</f>
        <v/>
      </c>
      <c r="N48" s="39">
        <f>N12+N20+N28+N36+N44</f>
        <v/>
      </c>
      <c r="O48" s="39">
        <f>O12+O20+O28+O36+O44</f>
        <v/>
      </c>
      <c r="P48" s="39">
        <f>P12+P20+P28+P36+P44</f>
        <v/>
      </c>
    </row>
    <row r="49">
      <c r="A49" s="17" t="inlineStr">
        <is>
          <t xml:space="preserve">  Total Net PP&amp;E</t>
        </is>
      </c>
      <c r="B49" s="42">
        <f>B47-B48</f>
        <v/>
      </c>
      <c r="C49" s="42">
        <f>C47-C48</f>
        <v/>
      </c>
      <c r="D49" s="42">
        <f>D47-D48</f>
        <v/>
      </c>
      <c r="E49" s="42">
        <f>E47-E48</f>
        <v/>
      </c>
      <c r="F49" s="42">
        <f>F47-F48</f>
        <v/>
      </c>
      <c r="G49" s="42">
        <f>G47-G48</f>
        <v/>
      </c>
      <c r="H49" s="42">
        <f>H47-H48</f>
        <v/>
      </c>
      <c r="I49" s="42">
        <f>I47-I48</f>
        <v/>
      </c>
      <c r="J49" s="42">
        <f>J47-J48</f>
        <v/>
      </c>
      <c r="K49" s="42">
        <f>K47-K48</f>
        <v/>
      </c>
      <c r="L49" s="42">
        <f>L47-L48</f>
        <v/>
      </c>
      <c r="M49" s="42">
        <f>M47-M48</f>
        <v/>
      </c>
      <c r="N49" s="42">
        <f>N47-N48</f>
        <v/>
      </c>
      <c r="O49" s="42">
        <f>O47-O48</f>
        <v/>
      </c>
      <c r="P49" s="42">
        <f>P47-P48</f>
        <v/>
      </c>
    </row>
    <row r="50">
      <c r="A50" s="17" t="inlineStr">
        <is>
          <t xml:space="preserve">  Total D&amp;A Charge (feeds IS D&amp;A)</t>
        </is>
      </c>
      <c r="B50" s="45">
        <f>B11+B19+B27+B35+B43</f>
        <v/>
      </c>
      <c r="C50" s="45">
        <f>C11+C19+C27+C35+C43</f>
        <v/>
      </c>
      <c r="D50" s="45">
        <f>D11+D19+D27+D35+D43</f>
        <v/>
      </c>
      <c r="E50" s="45">
        <f>E11+E19+E27+E35+E43</f>
        <v/>
      </c>
      <c r="F50" s="45">
        <f>F11+F19+F27+F35+F43</f>
        <v/>
      </c>
      <c r="G50" s="39">
        <f>G11+G19+G27+G35+G43</f>
        <v/>
      </c>
      <c r="H50" s="39">
        <f>H11+H19+H27+H35+H43</f>
        <v/>
      </c>
      <c r="I50" s="39">
        <f>I11+I19+I27+I35+I43</f>
        <v/>
      </c>
      <c r="J50" s="39">
        <f>J11+J19+J27+J35+J43</f>
        <v/>
      </c>
      <c r="K50" s="39">
        <f>K11+K19+K27+K35+K43</f>
        <v/>
      </c>
      <c r="L50" s="39">
        <f>L11+L19+L27+L35+L43</f>
        <v/>
      </c>
      <c r="M50" s="39">
        <f>M11+M19+M27+M35+M43</f>
        <v/>
      </c>
      <c r="N50" s="39">
        <f>N11+N19+N27+N35+N43</f>
        <v/>
      </c>
      <c r="O50" s="39">
        <f>O11+O19+O27+O35+O43</f>
        <v/>
      </c>
      <c r="P50" s="39">
        <f>P11+P19+P27+P35+P43</f>
        <v/>
      </c>
    </row>
  </sheetData>
  <mergeCells count="1">
    <mergeCell ref="A1:P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Q4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6" t="inlineStr">
        <is>
          <t>WORKFORCE — Headcount &amp; Labour Cost Model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On-Cost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On-Cost Rate (super, leave, workers comp, etc.)</t>
        </is>
      </c>
      <c r="B5" s="18" t="n">
        <v>0.3</v>
      </c>
    </row>
    <row r="7" ht="16" customHeight="1">
      <c r="A7" s="15" t="inlineStr">
        <is>
          <t>Workforce by Department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</row>
    <row r="8">
      <c r="A8" s="15" t="inlineStr">
        <is>
          <t>NETWORK OPERATIONS (field technicians &amp; operators)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9">
      <c r="A9" s="17" t="inlineStr">
        <is>
          <t xml:space="preserve">  Headcount (FTE)</t>
        </is>
      </c>
      <c r="B9" s="23" t="n">
        <v>248</v>
      </c>
      <c r="C9" s="23" t="n">
        <v>251</v>
      </c>
      <c r="D9" s="23" t="n">
        <v>254</v>
      </c>
      <c r="E9" s="23" t="n">
        <v>257</v>
      </c>
      <c r="F9" s="23" t="n">
        <v>260</v>
      </c>
      <c r="G9" s="34" t="n">
        <v>263</v>
      </c>
      <c r="H9" s="34" t="n">
        <v>267</v>
      </c>
      <c r="I9" s="34" t="n">
        <v>270</v>
      </c>
      <c r="J9" s="34" t="n">
        <v>273</v>
      </c>
      <c r="K9" s="34" t="n">
        <v>277</v>
      </c>
      <c r="L9" s="34" t="n">
        <v>280</v>
      </c>
      <c r="M9" s="34" t="n">
        <v>283</v>
      </c>
      <c r="N9" s="34" t="n">
        <v>287</v>
      </c>
      <c r="O9" s="34" t="n">
        <v>290</v>
      </c>
      <c r="P9" s="34" t="n">
        <v>294</v>
      </c>
    </row>
    <row r="10">
      <c r="A10" s="17" t="inlineStr">
        <is>
          <t xml:space="preserve">  Avg. Salary ($/FTE, nominal $'000)</t>
        </is>
      </c>
      <c r="B10" s="23" t="n">
        <v>95</v>
      </c>
      <c r="C10" s="23" t="n">
        <v>97.40000000000001</v>
      </c>
      <c r="D10" s="23" t="n">
        <v>99.8</v>
      </c>
      <c r="E10" s="23" t="n">
        <v>102.3</v>
      </c>
      <c r="F10" s="23" t="n">
        <v>104.9</v>
      </c>
      <c r="G10" s="34" t="n">
        <v>107.5</v>
      </c>
      <c r="H10" s="34">
        <f>G10*(1+Assumptions!H15)</f>
        <v/>
      </c>
      <c r="I10" s="34">
        <f>H10*(1+Assumptions!I15)</f>
        <v/>
      </c>
      <c r="J10" s="34">
        <f>I10*(1+Assumptions!J15)</f>
        <v/>
      </c>
      <c r="K10" s="34">
        <f>J10*(1+Assumptions!K15)</f>
        <v/>
      </c>
      <c r="L10" s="34">
        <f>K10*(1+Assumptions!L15)</f>
        <v/>
      </c>
      <c r="M10" s="34">
        <f>L10*(1+Assumptions!M15)</f>
        <v/>
      </c>
      <c r="N10" s="34">
        <f>M10*(1+Assumptions!N15)</f>
        <v/>
      </c>
      <c r="O10" s="34">
        <f>N10*(1+Assumptions!O15)</f>
        <v/>
      </c>
      <c r="P10" s="34">
        <f>O10*(1+Assumptions!P15)</f>
        <v/>
      </c>
    </row>
    <row r="11">
      <c r="A11" s="17" t="inlineStr">
        <is>
          <t xml:space="preserve">  Salary Cost ($M)</t>
        </is>
      </c>
      <c r="B11" s="26">
        <f>B9*B10/1000</f>
        <v/>
      </c>
      <c r="C11" s="26">
        <f>C9*C10/1000</f>
        <v/>
      </c>
      <c r="D11" s="26">
        <f>D9*D10/1000</f>
        <v/>
      </c>
      <c r="E11" s="26">
        <f>E9*E10/1000</f>
        <v/>
      </c>
      <c r="F11" s="26">
        <f>F9*F10/1000</f>
        <v/>
      </c>
      <c r="G11" s="44">
        <f>G9*G10/1000</f>
        <v/>
      </c>
      <c r="H11" s="44">
        <f>H9*H10/1000</f>
        <v/>
      </c>
      <c r="I11" s="44">
        <f>I9*I10/1000</f>
        <v/>
      </c>
      <c r="J11" s="44">
        <f>J9*J10/1000</f>
        <v/>
      </c>
      <c r="K11" s="44">
        <f>K9*K10/1000</f>
        <v/>
      </c>
      <c r="L11" s="44">
        <f>L9*L10/1000</f>
        <v/>
      </c>
      <c r="M11" s="44">
        <f>M9*M10/1000</f>
        <v/>
      </c>
      <c r="N11" s="44">
        <f>N9*N10/1000</f>
        <v/>
      </c>
      <c r="O11" s="44">
        <f>O9*O10/1000</f>
        <v/>
      </c>
      <c r="P11" s="44">
        <f>P9*P10/1000</f>
        <v/>
      </c>
    </row>
    <row r="12">
      <c r="A12" s="17" t="inlineStr">
        <is>
          <t xml:space="preserve">  On-Costs ($M)</t>
        </is>
      </c>
      <c r="B12" s="26">
        <f>B11*$B$5</f>
        <v/>
      </c>
      <c r="C12" s="26">
        <f>C11*$B$5</f>
        <v/>
      </c>
      <c r="D12" s="26">
        <f>D11*$B$5</f>
        <v/>
      </c>
      <c r="E12" s="26">
        <f>E11*$B$5</f>
        <v/>
      </c>
      <c r="F12" s="26">
        <f>F11*$B$5</f>
        <v/>
      </c>
      <c r="G12" s="44">
        <f>G11*$B$5</f>
        <v/>
      </c>
      <c r="H12" s="44">
        <f>H11*$B$5</f>
        <v/>
      </c>
      <c r="I12" s="44">
        <f>I11*$B$5</f>
        <v/>
      </c>
      <c r="J12" s="44">
        <f>J11*$B$5</f>
        <v/>
      </c>
      <c r="K12" s="44">
        <f>K11*$B$5</f>
        <v/>
      </c>
      <c r="L12" s="44">
        <f>L11*$B$5</f>
        <v/>
      </c>
      <c r="M12" s="44">
        <f>M11*$B$5</f>
        <v/>
      </c>
      <c r="N12" s="44">
        <f>N11*$B$5</f>
        <v/>
      </c>
      <c r="O12" s="44">
        <f>O11*$B$5</f>
        <v/>
      </c>
      <c r="P12" s="44">
        <f>P11*$B$5</f>
        <v/>
      </c>
    </row>
    <row r="13">
      <c r="A13" s="17" t="inlineStr">
        <is>
          <t xml:space="preserve">  Total Labour Cost ($M)</t>
        </is>
      </c>
      <c r="B13" s="45">
        <f>B11+B12</f>
        <v/>
      </c>
      <c r="C13" s="45">
        <f>C11+C12</f>
        <v/>
      </c>
      <c r="D13" s="45">
        <f>D11+D12</f>
        <v/>
      </c>
      <c r="E13" s="45">
        <f>E11+E12</f>
        <v/>
      </c>
      <c r="F13" s="45">
        <f>F11+F12</f>
        <v/>
      </c>
      <c r="G13" s="39">
        <f>G11+G12</f>
        <v/>
      </c>
      <c r="H13" s="39">
        <f>H11+H12</f>
        <v/>
      </c>
      <c r="I13" s="39">
        <f>I11+I12</f>
        <v/>
      </c>
      <c r="J13" s="39">
        <f>J11+J12</f>
        <v/>
      </c>
      <c r="K13" s="39">
        <f>K11+K12</f>
        <v/>
      </c>
      <c r="L13" s="39">
        <f>L11+L12</f>
        <v/>
      </c>
      <c r="M13" s="39">
        <f>M11+M12</f>
        <v/>
      </c>
      <c r="N13" s="39">
        <f>N11+N12</f>
        <v/>
      </c>
      <c r="O13" s="39">
        <f>O11+O12</f>
        <v/>
      </c>
      <c r="P13" s="39">
        <f>P11+P12</f>
        <v/>
      </c>
    </row>
    <row r="15">
      <c r="A15" s="15" t="inlineStr">
        <is>
          <t>ENGINEERING &amp; PLANNING (asset, protection, planning)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</row>
    <row r="16">
      <c r="A16" s="17" t="inlineStr">
        <is>
          <t xml:space="preserve">  Headcount (FTE)</t>
        </is>
      </c>
      <c r="B16" s="23" t="n">
        <v>78</v>
      </c>
      <c r="C16" s="23" t="n">
        <v>79</v>
      </c>
      <c r="D16" s="23" t="n">
        <v>80</v>
      </c>
      <c r="E16" s="23" t="n">
        <v>81</v>
      </c>
      <c r="F16" s="23" t="n">
        <v>82</v>
      </c>
      <c r="G16" s="34" t="n">
        <v>83</v>
      </c>
      <c r="H16" s="34" t="n">
        <v>84</v>
      </c>
      <c r="I16" s="34" t="n">
        <v>86</v>
      </c>
      <c r="J16" s="34" t="n">
        <v>87</v>
      </c>
      <c r="K16" s="34" t="n">
        <v>89</v>
      </c>
      <c r="L16" s="34" t="n">
        <v>90</v>
      </c>
      <c r="M16" s="34" t="n">
        <v>92</v>
      </c>
      <c r="N16" s="34" t="n">
        <v>93</v>
      </c>
      <c r="O16" s="34" t="n">
        <v>95</v>
      </c>
      <c r="P16" s="34" t="n">
        <v>97</v>
      </c>
    </row>
    <row r="17">
      <c r="A17" s="17" t="inlineStr">
        <is>
          <t xml:space="preserve">  Avg. Salary ($/FTE, nominal $'000)</t>
        </is>
      </c>
      <c r="B17" s="23" t="n">
        <v>120</v>
      </c>
      <c r="C17" s="23" t="n">
        <v>123</v>
      </c>
      <c r="D17" s="23" t="n">
        <v>126.1</v>
      </c>
      <c r="E17" s="23" t="n">
        <v>129.2</v>
      </c>
      <c r="F17" s="23" t="n">
        <v>132.5</v>
      </c>
      <c r="G17" s="34" t="n">
        <v>135.8</v>
      </c>
      <c r="H17" s="34">
        <f>G17*(1+Assumptions!H15)</f>
        <v/>
      </c>
      <c r="I17" s="34">
        <f>H17*(1+Assumptions!I15)</f>
        <v/>
      </c>
      <c r="J17" s="34">
        <f>I17*(1+Assumptions!J15)</f>
        <v/>
      </c>
      <c r="K17" s="34">
        <f>J17*(1+Assumptions!K15)</f>
        <v/>
      </c>
      <c r="L17" s="34">
        <f>K17*(1+Assumptions!L15)</f>
        <v/>
      </c>
      <c r="M17" s="34">
        <f>L17*(1+Assumptions!M15)</f>
        <v/>
      </c>
      <c r="N17" s="34">
        <f>M17*(1+Assumptions!N15)</f>
        <v/>
      </c>
      <c r="O17" s="34">
        <f>N17*(1+Assumptions!O15)</f>
        <v/>
      </c>
      <c r="P17" s="34">
        <f>O17*(1+Assumptions!P15)</f>
        <v/>
      </c>
    </row>
    <row r="18">
      <c r="A18" s="17" t="inlineStr">
        <is>
          <t xml:space="preserve">  Salary Cost ($M)</t>
        </is>
      </c>
      <c r="B18" s="26">
        <f>B16*B17/1000</f>
        <v/>
      </c>
      <c r="C18" s="26">
        <f>C16*C17/1000</f>
        <v/>
      </c>
      <c r="D18" s="26">
        <f>D16*D17/1000</f>
        <v/>
      </c>
      <c r="E18" s="26">
        <f>E16*E17/1000</f>
        <v/>
      </c>
      <c r="F18" s="26">
        <f>F16*F17/1000</f>
        <v/>
      </c>
      <c r="G18" s="44">
        <f>G16*G17/1000</f>
        <v/>
      </c>
      <c r="H18" s="44">
        <f>H16*H17/1000</f>
        <v/>
      </c>
      <c r="I18" s="44">
        <f>I16*I17/1000</f>
        <v/>
      </c>
      <c r="J18" s="44">
        <f>J16*J17/1000</f>
        <v/>
      </c>
      <c r="K18" s="44">
        <f>K16*K17/1000</f>
        <v/>
      </c>
      <c r="L18" s="44">
        <f>L16*L17/1000</f>
        <v/>
      </c>
      <c r="M18" s="44">
        <f>M16*M17/1000</f>
        <v/>
      </c>
      <c r="N18" s="44">
        <f>N16*N17/1000</f>
        <v/>
      </c>
      <c r="O18" s="44">
        <f>O16*O17/1000</f>
        <v/>
      </c>
      <c r="P18" s="44">
        <f>P16*P17/1000</f>
        <v/>
      </c>
    </row>
    <row r="19">
      <c r="A19" s="17" t="inlineStr">
        <is>
          <t xml:space="preserve">  On-Costs ($M)</t>
        </is>
      </c>
      <c r="B19" s="26">
        <f>B18*$B$5</f>
        <v/>
      </c>
      <c r="C19" s="26">
        <f>C18*$B$5</f>
        <v/>
      </c>
      <c r="D19" s="26">
        <f>D18*$B$5</f>
        <v/>
      </c>
      <c r="E19" s="26">
        <f>E18*$B$5</f>
        <v/>
      </c>
      <c r="F19" s="26">
        <f>F18*$B$5</f>
        <v/>
      </c>
      <c r="G19" s="44">
        <f>G18*$B$5</f>
        <v/>
      </c>
      <c r="H19" s="44">
        <f>H18*$B$5</f>
        <v/>
      </c>
      <c r="I19" s="44">
        <f>I18*$B$5</f>
        <v/>
      </c>
      <c r="J19" s="44">
        <f>J18*$B$5</f>
        <v/>
      </c>
      <c r="K19" s="44">
        <f>K18*$B$5</f>
        <v/>
      </c>
      <c r="L19" s="44">
        <f>L18*$B$5</f>
        <v/>
      </c>
      <c r="M19" s="44">
        <f>M18*$B$5</f>
        <v/>
      </c>
      <c r="N19" s="44">
        <f>N18*$B$5</f>
        <v/>
      </c>
      <c r="O19" s="44">
        <f>O18*$B$5</f>
        <v/>
      </c>
      <c r="P19" s="44">
        <f>P18*$B$5</f>
        <v/>
      </c>
    </row>
    <row r="20">
      <c r="A20" s="17" t="inlineStr">
        <is>
          <t xml:space="preserve">  Total Labour Cost ($M)</t>
        </is>
      </c>
      <c r="B20" s="45">
        <f>B18+B19</f>
        <v/>
      </c>
      <c r="C20" s="45">
        <f>C18+C19</f>
        <v/>
      </c>
      <c r="D20" s="45">
        <f>D18+D19</f>
        <v/>
      </c>
      <c r="E20" s="45">
        <f>E18+E19</f>
        <v/>
      </c>
      <c r="F20" s="45">
        <f>F18+F19</f>
        <v/>
      </c>
      <c r="G20" s="39">
        <f>G18+G19</f>
        <v/>
      </c>
      <c r="H20" s="39">
        <f>H18+H19</f>
        <v/>
      </c>
      <c r="I20" s="39">
        <f>I18+I19</f>
        <v/>
      </c>
      <c r="J20" s="39">
        <f>J18+J19</f>
        <v/>
      </c>
      <c r="K20" s="39">
        <f>K18+K19</f>
        <v/>
      </c>
      <c r="L20" s="39">
        <f>L18+L19</f>
        <v/>
      </c>
      <c r="M20" s="39">
        <f>M18+M19</f>
        <v/>
      </c>
      <c r="N20" s="39">
        <f>N18+N19</f>
        <v/>
      </c>
      <c r="O20" s="39">
        <f>O18+O19</f>
        <v/>
      </c>
      <c r="P20" s="39">
        <f>P18+P19</f>
        <v/>
      </c>
    </row>
    <row r="22">
      <c r="A22" s="15" t="inlineStr">
        <is>
          <t>CORPORATE &amp; SHARED SERVICES (finance, HR, legal, comms)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</row>
    <row r="23">
      <c r="A23" s="17" t="inlineStr">
        <is>
          <t xml:space="preserve">  Headcount (FTE)</t>
        </is>
      </c>
      <c r="B23" s="23" t="n">
        <v>118</v>
      </c>
      <c r="C23" s="23" t="n">
        <v>119</v>
      </c>
      <c r="D23" s="23" t="n">
        <v>120</v>
      </c>
      <c r="E23" s="23" t="n">
        <v>121</v>
      </c>
      <c r="F23" s="23" t="n">
        <v>122</v>
      </c>
      <c r="G23" s="34" t="n">
        <v>123</v>
      </c>
      <c r="H23" s="34" t="n">
        <v>124</v>
      </c>
      <c r="I23" s="34" t="n">
        <v>125</v>
      </c>
      <c r="J23" s="34" t="n">
        <v>126</v>
      </c>
      <c r="K23" s="34" t="n">
        <v>127</v>
      </c>
      <c r="L23" s="34" t="n">
        <v>128</v>
      </c>
      <c r="M23" s="34" t="n">
        <v>129</v>
      </c>
      <c r="N23" s="34" t="n">
        <v>130</v>
      </c>
      <c r="O23" s="34" t="n">
        <v>131</v>
      </c>
      <c r="P23" s="34" t="n">
        <v>132</v>
      </c>
    </row>
    <row r="24">
      <c r="A24" s="17" t="inlineStr">
        <is>
          <t xml:space="preserve">  Avg. Salary ($/FTE, nominal $'000)</t>
        </is>
      </c>
      <c r="B24" s="23" t="n">
        <v>110</v>
      </c>
      <c r="C24" s="23" t="n">
        <v>112.7</v>
      </c>
      <c r="D24" s="23" t="n">
        <v>115.6</v>
      </c>
      <c r="E24" s="23" t="n">
        <v>118.5</v>
      </c>
      <c r="F24" s="23" t="n">
        <v>121.4</v>
      </c>
      <c r="G24" s="34" t="n">
        <v>124.5</v>
      </c>
      <c r="H24" s="34">
        <f>G24*(1+Assumptions!H15)</f>
        <v/>
      </c>
      <c r="I24" s="34">
        <f>H24*(1+Assumptions!I15)</f>
        <v/>
      </c>
      <c r="J24" s="34">
        <f>I24*(1+Assumptions!J15)</f>
        <v/>
      </c>
      <c r="K24" s="34">
        <f>J24*(1+Assumptions!K15)</f>
        <v/>
      </c>
      <c r="L24" s="34">
        <f>K24*(1+Assumptions!L15)</f>
        <v/>
      </c>
      <c r="M24" s="34">
        <f>L24*(1+Assumptions!M15)</f>
        <v/>
      </c>
      <c r="N24" s="34">
        <f>M24*(1+Assumptions!N15)</f>
        <v/>
      </c>
      <c r="O24" s="34">
        <f>N24*(1+Assumptions!O15)</f>
        <v/>
      </c>
      <c r="P24" s="34">
        <f>O24*(1+Assumptions!P15)</f>
        <v/>
      </c>
    </row>
    <row r="25">
      <c r="A25" s="17" t="inlineStr">
        <is>
          <t xml:space="preserve">  Salary Cost ($M)</t>
        </is>
      </c>
      <c r="B25" s="26">
        <f>B23*B24/1000</f>
        <v/>
      </c>
      <c r="C25" s="26">
        <f>C23*C24/1000</f>
        <v/>
      </c>
      <c r="D25" s="26">
        <f>D23*D24/1000</f>
        <v/>
      </c>
      <c r="E25" s="26">
        <f>E23*E24/1000</f>
        <v/>
      </c>
      <c r="F25" s="26">
        <f>F23*F24/1000</f>
        <v/>
      </c>
      <c r="G25" s="44">
        <f>G23*G24/1000</f>
        <v/>
      </c>
      <c r="H25" s="44">
        <f>H23*H24/1000</f>
        <v/>
      </c>
      <c r="I25" s="44">
        <f>I23*I24/1000</f>
        <v/>
      </c>
      <c r="J25" s="44">
        <f>J23*J24/1000</f>
        <v/>
      </c>
      <c r="K25" s="44">
        <f>K23*K24/1000</f>
        <v/>
      </c>
      <c r="L25" s="44">
        <f>L23*L24/1000</f>
        <v/>
      </c>
      <c r="M25" s="44">
        <f>M23*M24/1000</f>
        <v/>
      </c>
      <c r="N25" s="44">
        <f>N23*N24/1000</f>
        <v/>
      </c>
      <c r="O25" s="44">
        <f>O23*O24/1000</f>
        <v/>
      </c>
      <c r="P25" s="44">
        <f>P23*P24/1000</f>
        <v/>
      </c>
    </row>
    <row r="26">
      <c r="A26" s="17" t="inlineStr">
        <is>
          <t xml:space="preserve">  On-Costs ($M)</t>
        </is>
      </c>
      <c r="B26" s="26">
        <f>B25*$B$5</f>
        <v/>
      </c>
      <c r="C26" s="26">
        <f>C25*$B$5</f>
        <v/>
      </c>
      <c r="D26" s="26">
        <f>D25*$B$5</f>
        <v/>
      </c>
      <c r="E26" s="26">
        <f>E25*$B$5</f>
        <v/>
      </c>
      <c r="F26" s="26">
        <f>F25*$B$5</f>
        <v/>
      </c>
      <c r="G26" s="44">
        <f>G25*$B$5</f>
        <v/>
      </c>
      <c r="H26" s="44">
        <f>H25*$B$5</f>
        <v/>
      </c>
      <c r="I26" s="44">
        <f>I25*$B$5</f>
        <v/>
      </c>
      <c r="J26" s="44">
        <f>J25*$B$5</f>
        <v/>
      </c>
      <c r="K26" s="44">
        <f>K25*$B$5</f>
        <v/>
      </c>
      <c r="L26" s="44">
        <f>L25*$B$5</f>
        <v/>
      </c>
      <c r="M26" s="44">
        <f>M25*$B$5</f>
        <v/>
      </c>
      <c r="N26" s="44">
        <f>N25*$B$5</f>
        <v/>
      </c>
      <c r="O26" s="44">
        <f>O25*$B$5</f>
        <v/>
      </c>
      <c r="P26" s="44">
        <f>P25*$B$5</f>
        <v/>
      </c>
    </row>
    <row r="27">
      <c r="A27" s="17" t="inlineStr">
        <is>
          <t xml:space="preserve">  Total Labour Cost ($M)</t>
        </is>
      </c>
      <c r="B27" s="45">
        <f>B25+B26</f>
        <v/>
      </c>
      <c r="C27" s="45">
        <f>C25+C26</f>
        <v/>
      </c>
      <c r="D27" s="45">
        <f>D25+D26</f>
        <v/>
      </c>
      <c r="E27" s="45">
        <f>E25+E26</f>
        <v/>
      </c>
      <c r="F27" s="45">
        <f>F25+F26</f>
        <v/>
      </c>
      <c r="G27" s="39">
        <f>G25+G26</f>
        <v/>
      </c>
      <c r="H27" s="39">
        <f>H25+H26</f>
        <v/>
      </c>
      <c r="I27" s="39">
        <f>I25+I26</f>
        <v/>
      </c>
      <c r="J27" s="39">
        <f>J25+J26</f>
        <v/>
      </c>
      <c r="K27" s="39">
        <f>K25+K26</f>
        <v/>
      </c>
      <c r="L27" s="39">
        <f>L25+L26</f>
        <v/>
      </c>
      <c r="M27" s="39">
        <f>M25+M26</f>
        <v/>
      </c>
      <c r="N27" s="39">
        <f>N25+N26</f>
        <v/>
      </c>
      <c r="O27" s="39">
        <f>O25+O26</f>
        <v/>
      </c>
      <c r="P27" s="39">
        <f>P25+P26</f>
        <v/>
      </c>
    </row>
    <row r="29">
      <c r="A29" s="15" t="inlineStr">
        <is>
          <t>ICT &amp; DIGITAL (infrastructure, cybersecurity, data)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Headcount (FTE)</t>
        </is>
      </c>
      <c r="B30" s="23" t="n">
        <v>42</v>
      </c>
      <c r="C30" s="23" t="n">
        <v>43</v>
      </c>
      <c r="D30" s="23" t="n">
        <v>44</v>
      </c>
      <c r="E30" s="23" t="n">
        <v>45</v>
      </c>
      <c r="F30" s="23" t="n">
        <v>46</v>
      </c>
      <c r="G30" s="34" t="n">
        <v>48</v>
      </c>
      <c r="H30" s="34" t="n">
        <v>50</v>
      </c>
      <c r="I30" s="34" t="n">
        <v>52</v>
      </c>
      <c r="J30" s="34" t="n">
        <v>54</v>
      </c>
      <c r="K30" s="34" t="n">
        <v>55</v>
      </c>
      <c r="L30" s="34" t="n">
        <v>57</v>
      </c>
      <c r="M30" s="34" t="n">
        <v>58</v>
      </c>
      <c r="N30" s="34" t="n">
        <v>59</v>
      </c>
      <c r="O30" s="34" t="n">
        <v>60</v>
      </c>
      <c r="P30" s="34" t="n">
        <v>61</v>
      </c>
    </row>
    <row r="31">
      <c r="A31" s="17" t="inlineStr">
        <is>
          <t xml:space="preserve">  Avg. Salary ($/FTE, nominal $'000)</t>
        </is>
      </c>
      <c r="B31" s="23" t="n">
        <v>115</v>
      </c>
      <c r="C31" s="23" t="n">
        <v>117.9</v>
      </c>
      <c r="D31" s="23" t="n">
        <v>120.8</v>
      </c>
      <c r="E31" s="23" t="n">
        <v>123.8</v>
      </c>
      <c r="F31" s="23" t="n">
        <v>126.9</v>
      </c>
      <c r="G31" s="34" t="n">
        <v>130.1</v>
      </c>
      <c r="H31" s="34">
        <f>G31*(1+Assumptions!H15)</f>
        <v/>
      </c>
      <c r="I31" s="34">
        <f>H31*(1+Assumptions!I15)</f>
        <v/>
      </c>
      <c r="J31" s="34">
        <f>I31*(1+Assumptions!J15)</f>
        <v/>
      </c>
      <c r="K31" s="34">
        <f>J31*(1+Assumptions!K15)</f>
        <v/>
      </c>
      <c r="L31" s="34">
        <f>K31*(1+Assumptions!L15)</f>
        <v/>
      </c>
      <c r="M31" s="34">
        <f>L31*(1+Assumptions!M15)</f>
        <v/>
      </c>
      <c r="N31" s="34">
        <f>M31*(1+Assumptions!N15)</f>
        <v/>
      </c>
      <c r="O31" s="34">
        <f>N31*(1+Assumptions!O15)</f>
        <v/>
      </c>
      <c r="P31" s="34">
        <f>O31*(1+Assumptions!P15)</f>
        <v/>
      </c>
    </row>
    <row r="32">
      <c r="A32" s="17" t="inlineStr">
        <is>
          <t xml:space="preserve">  Salary Cost ($M)</t>
        </is>
      </c>
      <c r="B32" s="26">
        <f>B30*B31/1000</f>
        <v/>
      </c>
      <c r="C32" s="26">
        <f>C30*C31/1000</f>
        <v/>
      </c>
      <c r="D32" s="26">
        <f>D30*D31/1000</f>
        <v/>
      </c>
      <c r="E32" s="26">
        <f>E30*E31/1000</f>
        <v/>
      </c>
      <c r="F32" s="26">
        <f>F30*F31/1000</f>
        <v/>
      </c>
      <c r="G32" s="44">
        <f>G30*G31/1000</f>
        <v/>
      </c>
      <c r="H32" s="44">
        <f>H30*H31/1000</f>
        <v/>
      </c>
      <c r="I32" s="44">
        <f>I30*I31/1000</f>
        <v/>
      </c>
      <c r="J32" s="44">
        <f>J30*J31/1000</f>
        <v/>
      </c>
      <c r="K32" s="44">
        <f>K30*K31/1000</f>
        <v/>
      </c>
      <c r="L32" s="44">
        <f>L30*L31/1000</f>
        <v/>
      </c>
      <c r="M32" s="44">
        <f>M30*M31/1000</f>
        <v/>
      </c>
      <c r="N32" s="44">
        <f>N30*N31/1000</f>
        <v/>
      </c>
      <c r="O32" s="44">
        <f>O30*O31/1000</f>
        <v/>
      </c>
      <c r="P32" s="44">
        <f>P30*P31/1000</f>
        <v/>
      </c>
    </row>
    <row r="33">
      <c r="A33" s="17" t="inlineStr">
        <is>
          <t xml:space="preserve">  On-Costs ($M)</t>
        </is>
      </c>
      <c r="B33" s="26">
        <f>B32*$B$5</f>
        <v/>
      </c>
      <c r="C33" s="26">
        <f>C32*$B$5</f>
        <v/>
      </c>
      <c r="D33" s="26">
        <f>D32*$B$5</f>
        <v/>
      </c>
      <c r="E33" s="26">
        <f>E32*$B$5</f>
        <v/>
      </c>
      <c r="F33" s="26">
        <f>F32*$B$5</f>
        <v/>
      </c>
      <c r="G33" s="44">
        <f>G32*$B$5</f>
        <v/>
      </c>
      <c r="H33" s="44">
        <f>H32*$B$5</f>
        <v/>
      </c>
      <c r="I33" s="44">
        <f>I32*$B$5</f>
        <v/>
      </c>
      <c r="J33" s="44">
        <f>J32*$B$5</f>
        <v/>
      </c>
      <c r="K33" s="44">
        <f>K32*$B$5</f>
        <v/>
      </c>
      <c r="L33" s="44">
        <f>L32*$B$5</f>
        <v/>
      </c>
      <c r="M33" s="44">
        <f>M32*$B$5</f>
        <v/>
      </c>
      <c r="N33" s="44">
        <f>N32*$B$5</f>
        <v/>
      </c>
      <c r="O33" s="44">
        <f>O32*$B$5</f>
        <v/>
      </c>
      <c r="P33" s="44">
        <f>P32*$B$5</f>
        <v/>
      </c>
    </row>
    <row r="34">
      <c r="A34" s="17" t="inlineStr">
        <is>
          <t xml:space="preserve">  Total Labour Cost ($M)</t>
        </is>
      </c>
      <c r="B34" s="45">
        <f>B32+B33</f>
        <v/>
      </c>
      <c r="C34" s="45">
        <f>C32+C33</f>
        <v/>
      </c>
      <c r="D34" s="45">
        <f>D32+D33</f>
        <v/>
      </c>
      <c r="E34" s="45">
        <f>E32+E33</f>
        <v/>
      </c>
      <c r="F34" s="45">
        <f>F32+F33</f>
        <v/>
      </c>
      <c r="G34" s="39">
        <f>G32+G33</f>
        <v/>
      </c>
      <c r="H34" s="39">
        <f>H32+H33</f>
        <v/>
      </c>
      <c r="I34" s="39">
        <f>I32+I33</f>
        <v/>
      </c>
      <c r="J34" s="39">
        <f>J32+J33</f>
        <v/>
      </c>
      <c r="K34" s="39">
        <f>K32+K33</f>
        <v/>
      </c>
      <c r="L34" s="39">
        <f>L32+L33</f>
        <v/>
      </c>
      <c r="M34" s="39">
        <f>M32+M33</f>
        <v/>
      </c>
      <c r="N34" s="39">
        <f>N32+N33</f>
        <v/>
      </c>
      <c r="O34" s="39">
        <f>O32+O33</f>
        <v/>
      </c>
      <c r="P34" s="39">
        <f>P32+P33</f>
        <v/>
      </c>
    </row>
    <row r="36">
      <c r="A36" s="15" t="inlineStr">
        <is>
          <t>EXECUTIVE &amp; MANAGEMENT (C-suite, directors, managers)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</row>
    <row r="37">
      <c r="A37" s="17" t="inlineStr">
        <is>
          <t xml:space="preserve">  Headcount (FTE)</t>
        </is>
      </c>
      <c r="B37" s="23" t="n">
        <v>25</v>
      </c>
      <c r="C37" s="23" t="n">
        <v>25</v>
      </c>
      <c r="D37" s="23" t="n">
        <v>25</v>
      </c>
      <c r="E37" s="23" t="n">
        <v>25</v>
      </c>
      <c r="F37" s="23" t="n">
        <v>25</v>
      </c>
      <c r="G37" s="34" t="n">
        <v>25</v>
      </c>
      <c r="H37" s="34" t="n">
        <v>25</v>
      </c>
      <c r="I37" s="34" t="n">
        <v>25</v>
      </c>
      <c r="J37" s="34" t="n">
        <v>25</v>
      </c>
      <c r="K37" s="34" t="n">
        <v>25</v>
      </c>
      <c r="L37" s="34" t="n">
        <v>25</v>
      </c>
      <c r="M37" s="34" t="n">
        <v>25</v>
      </c>
      <c r="N37" s="34" t="n">
        <v>26</v>
      </c>
      <c r="O37" s="34" t="n">
        <v>26</v>
      </c>
      <c r="P37" s="34" t="n">
        <v>26</v>
      </c>
    </row>
    <row r="38">
      <c r="A38" s="17" t="inlineStr">
        <is>
          <t xml:space="preserve">  Avg. Salary ($/FTE, nominal $'000)</t>
        </is>
      </c>
      <c r="B38" s="23" t="n">
        <v>250</v>
      </c>
      <c r="C38" s="23" t="n">
        <v>256.2</v>
      </c>
      <c r="D38" s="23" t="n">
        <v>262.7</v>
      </c>
      <c r="E38" s="23" t="n">
        <v>269.2</v>
      </c>
      <c r="F38" s="23" t="n">
        <v>276</v>
      </c>
      <c r="G38" s="34" t="n">
        <v>282.9</v>
      </c>
      <c r="H38" s="34">
        <f>G38*(1+Assumptions!H15)</f>
        <v/>
      </c>
      <c r="I38" s="34">
        <f>H38*(1+Assumptions!I15)</f>
        <v/>
      </c>
      <c r="J38" s="34">
        <f>I38*(1+Assumptions!J15)</f>
        <v/>
      </c>
      <c r="K38" s="34">
        <f>J38*(1+Assumptions!K15)</f>
        <v/>
      </c>
      <c r="L38" s="34">
        <f>K38*(1+Assumptions!L15)</f>
        <v/>
      </c>
      <c r="M38" s="34">
        <f>L38*(1+Assumptions!M15)</f>
        <v/>
      </c>
      <c r="N38" s="34">
        <f>M38*(1+Assumptions!N15)</f>
        <v/>
      </c>
      <c r="O38" s="34">
        <f>N38*(1+Assumptions!O15)</f>
        <v/>
      </c>
      <c r="P38" s="34">
        <f>O38*(1+Assumptions!P15)</f>
        <v/>
      </c>
    </row>
    <row r="39">
      <c r="A39" s="17" t="inlineStr">
        <is>
          <t xml:space="preserve">  Salary Cost ($M)</t>
        </is>
      </c>
      <c r="B39" s="26">
        <f>B37*B38/1000</f>
        <v/>
      </c>
      <c r="C39" s="26">
        <f>C37*C38/1000</f>
        <v/>
      </c>
      <c r="D39" s="26">
        <f>D37*D38/1000</f>
        <v/>
      </c>
      <c r="E39" s="26">
        <f>E37*E38/1000</f>
        <v/>
      </c>
      <c r="F39" s="26">
        <f>F37*F38/1000</f>
        <v/>
      </c>
      <c r="G39" s="44">
        <f>G37*G38/1000</f>
        <v/>
      </c>
      <c r="H39" s="44">
        <f>H37*H38/1000</f>
        <v/>
      </c>
      <c r="I39" s="44">
        <f>I37*I38/1000</f>
        <v/>
      </c>
      <c r="J39" s="44">
        <f>J37*J38/1000</f>
        <v/>
      </c>
      <c r="K39" s="44">
        <f>K37*K38/1000</f>
        <v/>
      </c>
      <c r="L39" s="44">
        <f>L37*L38/1000</f>
        <v/>
      </c>
      <c r="M39" s="44">
        <f>M37*M38/1000</f>
        <v/>
      </c>
      <c r="N39" s="44">
        <f>N37*N38/1000</f>
        <v/>
      </c>
      <c r="O39" s="44">
        <f>O37*O38/1000</f>
        <v/>
      </c>
      <c r="P39" s="44">
        <f>P37*P38/1000</f>
        <v/>
      </c>
    </row>
    <row r="40">
      <c r="A40" s="17" t="inlineStr">
        <is>
          <t xml:space="preserve">  On-Costs ($M)</t>
        </is>
      </c>
      <c r="B40" s="26">
        <f>B39*$B$5</f>
        <v/>
      </c>
      <c r="C40" s="26">
        <f>C39*$B$5</f>
        <v/>
      </c>
      <c r="D40" s="26">
        <f>D39*$B$5</f>
        <v/>
      </c>
      <c r="E40" s="26">
        <f>E39*$B$5</f>
        <v/>
      </c>
      <c r="F40" s="26">
        <f>F39*$B$5</f>
        <v/>
      </c>
      <c r="G40" s="44">
        <f>G39*$B$5</f>
        <v/>
      </c>
      <c r="H40" s="44">
        <f>H39*$B$5</f>
        <v/>
      </c>
      <c r="I40" s="44">
        <f>I39*$B$5</f>
        <v/>
      </c>
      <c r="J40" s="44">
        <f>J39*$B$5</f>
        <v/>
      </c>
      <c r="K40" s="44">
        <f>K39*$B$5</f>
        <v/>
      </c>
      <c r="L40" s="44">
        <f>L39*$B$5</f>
        <v/>
      </c>
      <c r="M40" s="44">
        <f>M39*$B$5</f>
        <v/>
      </c>
      <c r="N40" s="44">
        <f>N39*$B$5</f>
        <v/>
      </c>
      <c r="O40" s="44">
        <f>O39*$B$5</f>
        <v/>
      </c>
      <c r="P40" s="44">
        <f>P39*$B$5</f>
        <v/>
      </c>
    </row>
    <row r="41">
      <c r="A41" s="17" t="inlineStr">
        <is>
          <t xml:space="preserve">  Total Labour Cost ($M)</t>
        </is>
      </c>
      <c r="B41" s="45">
        <f>B39+B40</f>
        <v/>
      </c>
      <c r="C41" s="45">
        <f>C39+C40</f>
        <v/>
      </c>
      <c r="D41" s="45">
        <f>D39+D40</f>
        <v/>
      </c>
      <c r="E41" s="45">
        <f>E39+E40</f>
        <v/>
      </c>
      <c r="F41" s="45">
        <f>F39+F40</f>
        <v/>
      </c>
      <c r="G41" s="39">
        <f>G39+G40</f>
        <v/>
      </c>
      <c r="H41" s="39">
        <f>H39+H40</f>
        <v/>
      </c>
      <c r="I41" s="39">
        <f>I39+I40</f>
        <v/>
      </c>
      <c r="J41" s="39">
        <f>J39+J40</f>
        <v/>
      </c>
      <c r="K41" s="39">
        <f>K39+K40</f>
        <v/>
      </c>
      <c r="L41" s="39">
        <f>L39+L40</f>
        <v/>
      </c>
      <c r="M41" s="39">
        <f>M39+M40</f>
        <v/>
      </c>
      <c r="N41" s="39">
        <f>N39+N40</f>
        <v/>
      </c>
      <c r="O41" s="39">
        <f>O39+O40</f>
        <v/>
      </c>
      <c r="P41" s="39">
        <f>P39+P40</f>
        <v/>
      </c>
    </row>
    <row r="44" ht="16" customHeight="1">
      <c r="A44" s="15" t="inlineStr">
        <is>
          <t>TOTAL WORKFORCE SUMMARY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>
      <c r="A45" s="17" t="inlineStr">
        <is>
          <t xml:space="preserve">  Total Headcount (FTE)</t>
        </is>
      </c>
      <c r="B45" s="57">
        <f>B9+B16+B23+B30+B37</f>
        <v/>
      </c>
      <c r="C45" s="57">
        <f>C9+C16+C23+C30+C37</f>
        <v/>
      </c>
      <c r="D45" s="57">
        <f>D9+D16+D23+D30+D37</f>
        <v/>
      </c>
      <c r="E45" s="57">
        <f>E9+E16+E23+E30+E37</f>
        <v/>
      </c>
      <c r="F45" s="57">
        <f>F9+F16+F23+F30+F37</f>
        <v/>
      </c>
      <c r="G45" s="58">
        <f>G9+G16+G23+G30+G37</f>
        <v/>
      </c>
      <c r="H45" s="58">
        <f>H9+H16+H23+H30+H37</f>
        <v/>
      </c>
      <c r="I45" s="58">
        <f>I9+I16+I23+I30+I37</f>
        <v/>
      </c>
      <c r="J45" s="58">
        <f>J9+J16+J23+J30+J37</f>
        <v/>
      </c>
      <c r="K45" s="58">
        <f>K9+K16+K23+K30+K37</f>
        <v/>
      </c>
      <c r="L45" s="58">
        <f>L9+L16+L23+L30+L37</f>
        <v/>
      </c>
      <c r="M45" s="58">
        <f>M9+M16+M23+M30+M37</f>
        <v/>
      </c>
      <c r="N45" s="58">
        <f>N9+N16+N23+N30+N37</f>
        <v/>
      </c>
      <c r="O45" s="58">
        <f>O9+O16+O23+O30+O37</f>
        <v/>
      </c>
      <c r="P45" s="58">
        <f>P9+P16+P23+P30+P37</f>
        <v/>
      </c>
    </row>
    <row r="46">
      <c r="A46" s="17" t="inlineStr">
        <is>
          <t xml:space="preserve">  Total Labour Cost ($M)</t>
        </is>
      </c>
      <c r="B46" s="42">
        <f>B13+B20+B27+B34+B41</f>
        <v/>
      </c>
      <c r="C46" s="42">
        <f>C13+C20+C27+C34+C41</f>
        <v/>
      </c>
      <c r="D46" s="42">
        <f>D13+D20+D27+D34+D41</f>
        <v/>
      </c>
      <c r="E46" s="42">
        <f>E13+E20+E27+E34+E41</f>
        <v/>
      </c>
      <c r="F46" s="42">
        <f>F13+F20+F27+F34+F41</f>
        <v/>
      </c>
      <c r="G46" s="42">
        <f>G13+G20+G27+G34+G41</f>
        <v/>
      </c>
      <c r="H46" s="42">
        <f>H13+H20+H27+H34+H41</f>
        <v/>
      </c>
      <c r="I46" s="42">
        <f>I13+I20+I27+I34+I41</f>
        <v/>
      </c>
      <c r="J46" s="42">
        <f>J13+J20+J27+J34+J41</f>
        <v/>
      </c>
      <c r="K46" s="42">
        <f>K13+K20+K27+K34+K41</f>
        <v/>
      </c>
      <c r="L46" s="42">
        <f>L13+L20+L27+L34+L41</f>
        <v/>
      </c>
      <c r="M46" s="42">
        <f>M13+M20+M27+M34+M41</f>
        <v/>
      </c>
      <c r="N46" s="42">
        <f>N13+N20+N27+N34+N41</f>
        <v/>
      </c>
      <c r="O46" s="42">
        <f>O13+O20+O27+O34+O41</f>
        <v/>
      </c>
      <c r="P46" s="42">
        <f>P13+P20+P27+P34+P41</f>
        <v/>
      </c>
    </row>
    <row r="47">
      <c r="A47" s="17" t="inlineStr">
        <is>
          <t xml:space="preserve">  → Network Ops Cost (feeds O&amp;M line)</t>
        </is>
      </c>
      <c r="B47" s="26">
        <f>B13</f>
        <v/>
      </c>
      <c r="C47" s="26">
        <f>C13</f>
        <v/>
      </c>
      <c r="D47" s="26">
        <f>D13</f>
        <v/>
      </c>
      <c r="E47" s="26">
        <f>E13</f>
        <v/>
      </c>
      <c r="F47" s="26">
        <f>F13</f>
        <v/>
      </c>
      <c r="G47" s="44">
        <f>G13</f>
        <v/>
      </c>
      <c r="H47" s="44">
        <f>H13</f>
        <v/>
      </c>
      <c r="I47" s="44">
        <f>I13</f>
        <v/>
      </c>
      <c r="J47" s="44">
        <f>J13</f>
        <v/>
      </c>
      <c r="K47" s="44">
        <f>K13</f>
        <v/>
      </c>
      <c r="L47" s="44">
        <f>L13</f>
        <v/>
      </c>
      <c r="M47" s="44">
        <f>M13</f>
        <v/>
      </c>
      <c r="N47" s="44">
        <f>N13</f>
        <v/>
      </c>
      <c r="O47" s="44">
        <f>O13</f>
        <v/>
      </c>
      <c r="P47" s="44">
        <f>P13</f>
        <v/>
      </c>
    </row>
    <row r="48">
      <c r="A48" s="17" t="inlineStr">
        <is>
          <t xml:space="preserve">  → Support Functions Cost (feeds Corporate line)</t>
        </is>
      </c>
      <c r="B48" s="26">
        <f>B20+B27+B34+B41</f>
        <v/>
      </c>
      <c r="C48" s="26">
        <f>C20+C27+C34+C41</f>
        <v/>
      </c>
      <c r="D48" s="26">
        <f>D20+D27+D34+D41</f>
        <v/>
      </c>
      <c r="E48" s="26">
        <f>E20+E27+E34+E41</f>
        <v/>
      </c>
      <c r="F48" s="26">
        <f>F20+F27+F34+F41</f>
        <v/>
      </c>
      <c r="G48" s="44">
        <f>G20+G27+G34+G41</f>
        <v/>
      </c>
      <c r="H48" s="44">
        <f>H20+H27+H34+H41</f>
        <v/>
      </c>
      <c r="I48" s="44">
        <f>I20+I27+I34+I41</f>
        <v/>
      </c>
      <c r="J48" s="44">
        <f>J20+J27+J34+J41</f>
        <v/>
      </c>
      <c r="K48" s="44">
        <f>K20+K27+K34+K41</f>
        <v/>
      </c>
      <c r="L48" s="44">
        <f>L20+L27+L34+L41</f>
        <v/>
      </c>
      <c r="M48" s="44">
        <f>M20+M27+M34+M41</f>
        <v/>
      </c>
      <c r="N48" s="44">
        <f>N20+N27+N34+N41</f>
        <v/>
      </c>
      <c r="O48" s="44">
        <f>O20+O27+O34+O41</f>
        <v/>
      </c>
      <c r="P48" s="44">
        <f>P20+P27+P34+P41</f>
        <v/>
      </c>
    </row>
  </sheetData>
  <mergeCells count="1">
    <mergeCell ref="A1:P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Q1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9" t="inlineStr">
        <is>
          <t>MAINTENANCE — Asset Maintenance Cost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PLANNED / PREVENTIVE MAINTENANCE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</t>
        </is>
      </c>
      <c r="B5" s="26" t="n">
        <v>24</v>
      </c>
      <c r="C5" s="26" t="n">
        <v>24.4</v>
      </c>
      <c r="D5" s="26" t="n">
        <v>24.8</v>
      </c>
      <c r="E5" s="26" t="n">
        <v>25.6</v>
      </c>
      <c r="F5" s="26" t="n">
        <v>27.1</v>
      </c>
      <c r="G5" s="44">
        <f>27.1*(1+Assumptions!G15)</f>
        <v/>
      </c>
      <c r="H5" s="44">
        <f>G5*(1+Assumptions!H15)</f>
        <v/>
      </c>
      <c r="I5" s="44">
        <f>H5*(1+Assumptions!I15)</f>
        <v/>
      </c>
      <c r="J5" s="44">
        <f>I5*(1+Assumptions!J15)</f>
        <v/>
      </c>
      <c r="K5" s="44">
        <f>J5*(1+Assumptions!K15)</f>
        <v/>
      </c>
      <c r="L5" s="44">
        <f>K5*(1+Assumptions!L15)</f>
        <v/>
      </c>
      <c r="M5" s="44">
        <f>L5*(1+Assumptions!M15)</f>
        <v/>
      </c>
      <c r="N5" s="44">
        <f>M5*(1+Assumptions!N15)</f>
        <v/>
      </c>
      <c r="O5" s="44">
        <f>N5*(1+Assumptions!O15)</f>
        <v/>
      </c>
      <c r="P5" s="44">
        <f>O5*(1+Assumptions!P15)</f>
        <v/>
      </c>
    </row>
    <row r="6">
      <c r="A6" s="17" t="inlineStr">
        <is>
          <t xml:space="preserve">  Substations</t>
        </is>
      </c>
      <c r="B6" s="26" t="n">
        <v>18</v>
      </c>
      <c r="C6" s="26" t="n">
        <v>18.3</v>
      </c>
      <c r="D6" s="26" t="n">
        <v>18.6</v>
      </c>
      <c r="E6" s="26" t="n">
        <v>19.2</v>
      </c>
      <c r="F6" s="26" t="n">
        <v>20.3</v>
      </c>
      <c r="G6" s="44">
        <f>20.3*(1+Assumptions!G15)</f>
        <v/>
      </c>
      <c r="H6" s="44">
        <f>G6*(1+Assumptions!H15)</f>
        <v/>
      </c>
      <c r="I6" s="44">
        <f>H6*(1+Assumptions!I15)</f>
        <v/>
      </c>
      <c r="J6" s="44">
        <f>I6*(1+Assumptions!J15)</f>
        <v/>
      </c>
      <c r="K6" s="44">
        <f>J6*(1+Assumptions!K15)</f>
        <v/>
      </c>
      <c r="L6" s="44">
        <f>K6*(1+Assumptions!L15)</f>
        <v/>
      </c>
      <c r="M6" s="44">
        <f>L6*(1+Assumptions!M15)</f>
        <v/>
      </c>
      <c r="N6" s="44">
        <f>M6*(1+Assumptions!N15)</f>
        <v/>
      </c>
      <c r="O6" s="44">
        <f>N6*(1+Assumptions!O15)</f>
        <v/>
      </c>
      <c r="P6" s="44">
        <f>O6*(1+Assumptions!P15)</f>
        <v/>
      </c>
    </row>
    <row r="7">
      <c r="A7" s="17" t="inlineStr">
        <is>
          <t xml:space="preserve">  Transformers</t>
        </is>
      </c>
      <c r="B7" s="26" t="n">
        <v>12</v>
      </c>
      <c r="C7" s="26" t="n">
        <v>12.2</v>
      </c>
      <c r="D7" s="26" t="n">
        <v>12.4</v>
      </c>
      <c r="E7" s="26" t="n">
        <v>12.8</v>
      </c>
      <c r="F7" s="26" t="n">
        <v>13.5</v>
      </c>
      <c r="G7" s="44">
        <f>13.5*(1+Assumptions!G15)</f>
        <v/>
      </c>
      <c r="H7" s="44">
        <f>G7*(1+Assumptions!H15)</f>
        <v/>
      </c>
      <c r="I7" s="44">
        <f>H7*(1+Assumptions!I15)</f>
        <v/>
      </c>
      <c r="J7" s="44">
        <f>I7*(1+Assumptions!J15)</f>
        <v/>
      </c>
      <c r="K7" s="44">
        <f>J7*(1+Assumptions!K15)</f>
        <v/>
      </c>
      <c r="L7" s="44">
        <f>K7*(1+Assumptions!L15)</f>
        <v/>
      </c>
      <c r="M7" s="44">
        <f>L7*(1+Assumptions!M15)</f>
        <v/>
      </c>
      <c r="N7" s="44">
        <f>M7*(1+Assumptions!N15)</f>
        <v/>
      </c>
      <c r="O7" s="44">
        <f>N7*(1+Assumptions!O15)</f>
        <v/>
      </c>
      <c r="P7" s="44">
        <f>O7*(1+Assumptions!P15)</f>
        <v/>
      </c>
    </row>
    <row r="8">
      <c r="A8" s="17" t="inlineStr">
        <is>
          <t xml:space="preserve">  SCADA &amp; Control</t>
        </is>
      </c>
      <c r="B8" s="26" t="n">
        <v>8</v>
      </c>
      <c r="C8" s="26" t="n">
        <v>8.1</v>
      </c>
      <c r="D8" s="26" t="n">
        <v>8.300000000000001</v>
      </c>
      <c r="E8" s="26" t="n">
        <v>8.5</v>
      </c>
      <c r="F8" s="26" t="n">
        <v>9</v>
      </c>
      <c r="G8" s="44">
        <f>9.0*(1+Assumptions!G15)</f>
        <v/>
      </c>
      <c r="H8" s="44">
        <f>G8*(1+Assumptions!H15)</f>
        <v/>
      </c>
      <c r="I8" s="44">
        <f>H8*(1+Assumptions!I15)</f>
        <v/>
      </c>
      <c r="J8" s="44">
        <f>I8*(1+Assumptions!J15)</f>
        <v/>
      </c>
      <c r="K8" s="44">
        <f>J8*(1+Assumptions!K15)</f>
        <v/>
      </c>
      <c r="L8" s="44">
        <f>K8*(1+Assumptions!L15)</f>
        <v/>
      </c>
      <c r="M8" s="44">
        <f>L8*(1+Assumptions!M15)</f>
        <v/>
      </c>
      <c r="N8" s="44">
        <f>M8*(1+Assumptions!N15)</f>
        <v/>
      </c>
      <c r="O8" s="44">
        <f>N8*(1+Assumptions!O15)</f>
        <v/>
      </c>
      <c r="P8" s="44">
        <f>O8*(1+Assumptions!P15)</f>
        <v/>
      </c>
    </row>
    <row r="9">
      <c r="A9" s="17" t="inlineStr">
        <is>
          <t xml:space="preserve">  Other Equipment</t>
        </is>
      </c>
      <c r="B9" s="26" t="n">
        <v>4.5</v>
      </c>
      <c r="C9" s="26" t="n">
        <v>4.6</v>
      </c>
      <c r="D9" s="26" t="n">
        <v>4.7</v>
      </c>
      <c r="E9" s="26" t="n">
        <v>4.8</v>
      </c>
      <c r="F9" s="26" t="n">
        <v>5.1</v>
      </c>
      <c r="G9" s="44">
        <f>5.1*(1+Assumptions!G15)</f>
        <v/>
      </c>
      <c r="H9" s="44">
        <f>G9*(1+Assumptions!H15)</f>
        <v/>
      </c>
      <c r="I9" s="44">
        <f>H9*(1+Assumptions!I15)</f>
        <v/>
      </c>
      <c r="J9" s="44">
        <f>I9*(1+Assumptions!J15)</f>
        <v/>
      </c>
      <c r="K9" s="44">
        <f>J9*(1+Assumptions!K15)</f>
        <v/>
      </c>
      <c r="L9" s="44">
        <f>K9*(1+Assumptions!L15)</f>
        <v/>
      </c>
      <c r="M9" s="44">
        <f>L9*(1+Assumptions!M15)</f>
        <v/>
      </c>
      <c r="N9" s="44">
        <f>M9*(1+Assumptions!N15)</f>
        <v/>
      </c>
      <c r="O9" s="44">
        <f>N9*(1+Assumptions!O15)</f>
        <v/>
      </c>
      <c r="P9" s="44">
        <f>O9*(1+Assumptions!P15)</f>
        <v/>
      </c>
    </row>
    <row r="10">
      <c r="A10" s="17" t="inlineStr">
        <is>
          <t xml:space="preserve">  Total Planned Maintenance</t>
        </is>
      </c>
      <c r="B10" s="43">
        <f>B5+B6+B7+B8+B9</f>
        <v/>
      </c>
      <c r="C10" s="43">
        <f>C5+C6+C7+C8+C9</f>
        <v/>
      </c>
      <c r="D10" s="43">
        <f>D5+D6+D7+D8+D9</f>
        <v/>
      </c>
      <c r="E10" s="43">
        <f>E5+E6+E7+E8+E9</f>
        <v/>
      </c>
      <c r="F10" s="43">
        <f>F5+F6+F7+F8+F9</f>
        <v/>
      </c>
      <c r="G10" s="43">
        <f>G5+G6+G7+G8+G9</f>
        <v/>
      </c>
      <c r="H10" s="43">
        <f>H5+H6+H7+H8+H9</f>
        <v/>
      </c>
      <c r="I10" s="43">
        <f>I5+I6+I7+I8+I9</f>
        <v/>
      </c>
      <c r="J10" s="43">
        <f>J5+J6+J7+J8+J9</f>
        <v/>
      </c>
      <c r="K10" s="43">
        <f>K5+K6+K7+K8+K9</f>
        <v/>
      </c>
      <c r="L10" s="43">
        <f>L5+L6+L7+L8+L9</f>
        <v/>
      </c>
      <c r="M10" s="43">
        <f>M5+M6+M7+M8+M9</f>
        <v/>
      </c>
      <c r="N10" s="43">
        <f>N5+N6+N7+N8+N9</f>
        <v/>
      </c>
      <c r="O10" s="43">
        <f>O5+O6+O7+O8+O9</f>
        <v/>
      </c>
      <c r="P10" s="43">
        <f>P5+P6+P7+P8+P9</f>
        <v/>
      </c>
    </row>
    <row r="12" ht="16" customHeight="1">
      <c r="A12" s="15" t="inlineStr">
        <is>
          <t>CORRECTIVE / EMERGENCY MAINTENANCE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Corrective Rate (% of planned)</t>
        </is>
      </c>
      <c r="B13" s="18" t="n">
        <v>0.15</v>
      </c>
    </row>
    <row r="14">
      <c r="A14" s="17" t="inlineStr">
        <is>
          <t xml:space="preserve">  Total Corrective Maintenance</t>
        </is>
      </c>
      <c r="B14" s="26">
        <f>B10*$B$13</f>
        <v/>
      </c>
      <c r="C14" s="26">
        <f>C10*$B$13</f>
        <v/>
      </c>
      <c r="D14" s="26">
        <f>D10*$B$13</f>
        <v/>
      </c>
      <c r="E14" s="26">
        <f>E10*$B$13</f>
        <v/>
      </c>
      <c r="F14" s="26">
        <f>F10*$B$13</f>
        <v/>
      </c>
      <c r="G14" s="44">
        <f>G10*$B$13</f>
        <v/>
      </c>
      <c r="H14" s="44">
        <f>H10*$B$13</f>
        <v/>
      </c>
      <c r="I14" s="44">
        <f>I10*$B$13</f>
        <v/>
      </c>
      <c r="J14" s="44">
        <f>J10*$B$13</f>
        <v/>
      </c>
      <c r="K14" s="44">
        <f>K10*$B$13</f>
        <v/>
      </c>
      <c r="L14" s="44">
        <f>L10*$B$13</f>
        <v/>
      </c>
      <c r="M14" s="44">
        <f>M10*$B$13</f>
        <v/>
      </c>
      <c r="N14" s="44">
        <f>N10*$B$13</f>
        <v/>
      </c>
      <c r="O14" s="44">
        <f>O10*$B$13</f>
        <v/>
      </c>
      <c r="P14" s="44">
        <f>P10*$B$13</f>
        <v/>
      </c>
    </row>
    <row r="16" ht="16" customHeight="1">
      <c r="A16" s="15" t="inlineStr">
        <is>
          <t>TOTAL MAINTENANCE COST ($M) — Feeds Network O&amp;M in IS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Total Maintenance (Planned + Corrective)</t>
        </is>
      </c>
      <c r="B17" s="42">
        <f>B10+B14</f>
        <v/>
      </c>
      <c r="C17" s="42">
        <f>C10+C14</f>
        <v/>
      </c>
      <c r="D17" s="42">
        <f>D10+D14</f>
        <v/>
      </c>
      <c r="E17" s="42">
        <f>E10+E14</f>
        <v/>
      </c>
      <c r="F17" s="42">
        <f>F10+F14</f>
        <v/>
      </c>
      <c r="G17" s="42">
        <f>G10+G14</f>
        <v/>
      </c>
      <c r="H17" s="42">
        <f>H10+H14</f>
        <v/>
      </c>
      <c r="I17" s="42">
        <f>I10+I14</f>
        <v/>
      </c>
      <c r="J17" s="42">
        <f>J10+J14</f>
        <v/>
      </c>
      <c r="K17" s="42">
        <f>K10+K14</f>
        <v/>
      </c>
      <c r="L17" s="42">
        <f>L10+L14</f>
        <v/>
      </c>
      <c r="M17" s="42">
        <f>M10+M14</f>
        <v/>
      </c>
      <c r="N17" s="42">
        <f>N10+N14</f>
        <v/>
      </c>
      <c r="O17" s="42">
        <f>O10+O14</f>
        <v/>
      </c>
      <c r="P17" s="42">
        <f>P10+P14</f>
        <v/>
      </c>
    </row>
    <row r="18">
      <c r="A18" s="54" t="inlineStr">
        <is>
          <t xml:space="preserve">  Note: Maintenance total is a supporting schedule. IS Network O&amp;M is currently driven by Assumptions/REFM. Update REFM O&amp;M inputs to align with this schedule.</t>
        </is>
      </c>
    </row>
  </sheetData>
  <mergeCells count="1">
    <mergeCell ref="A1:P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0" t="inlineStr">
        <is>
          <t>REVENUE &amp; EXPENDITURE FORECASTING MODEL (REFM)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Expenditure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Network O&amp;M</t>
        </is>
      </c>
      <c r="B5" s="26">
        <f>Assumptions!B61</f>
        <v/>
      </c>
      <c r="C5" s="26">
        <f>Assumptions!C61</f>
        <v/>
      </c>
      <c r="D5" s="26">
        <f>Assumptions!D61</f>
        <v/>
      </c>
      <c r="E5" s="26">
        <f>Assumptions!E61</f>
        <v/>
      </c>
      <c r="F5" s="26">
        <f>Assumptions!F61</f>
        <v/>
      </c>
      <c r="G5" s="44">
        <f>Assumptions!G23</f>
        <v/>
      </c>
      <c r="H5" s="44">
        <f>Assumptions!H23</f>
        <v/>
      </c>
      <c r="I5" s="44">
        <f>Assumptions!I23</f>
        <v/>
      </c>
      <c r="J5" s="44">
        <f>Assumptions!J23</f>
        <v/>
      </c>
      <c r="K5" s="44">
        <f>Assumptions!K23</f>
        <v/>
      </c>
      <c r="L5" s="44">
        <f>Assumptions!L23</f>
        <v/>
      </c>
      <c r="M5" s="44">
        <f>Assumptions!M23</f>
        <v/>
      </c>
      <c r="N5" s="44">
        <f>Assumptions!N23</f>
        <v/>
      </c>
      <c r="O5" s="44">
        <f>Assumptions!O23</f>
        <v/>
      </c>
      <c r="P5" s="44">
        <f>Assumptions!P23</f>
        <v/>
      </c>
    </row>
    <row r="6">
      <c r="A6" s="17" t="inlineStr">
        <is>
          <t xml:space="preserve">  Corporate</t>
        </is>
      </c>
      <c r="B6" s="26">
        <f>Assumptions!B62</f>
        <v/>
      </c>
      <c r="C6" s="26">
        <f>Assumptions!C62</f>
        <v/>
      </c>
      <c r="D6" s="26">
        <f>Assumptions!D62</f>
        <v/>
      </c>
      <c r="E6" s="26">
        <f>Assumptions!E62</f>
        <v/>
      </c>
      <c r="F6" s="26">
        <f>Assumptions!F62</f>
        <v/>
      </c>
      <c r="G6" s="44">
        <f>Assumptions!G24</f>
        <v/>
      </c>
      <c r="H6" s="44">
        <f>Assumptions!H24</f>
        <v/>
      </c>
      <c r="I6" s="44">
        <f>Assumptions!I24</f>
        <v/>
      </c>
      <c r="J6" s="44">
        <f>Assumptions!J24</f>
        <v/>
      </c>
      <c r="K6" s="44">
        <f>Assumptions!K24</f>
        <v/>
      </c>
      <c r="L6" s="44">
        <f>Assumptions!L24</f>
        <v/>
      </c>
      <c r="M6" s="44">
        <f>Assumptions!M24</f>
        <v/>
      </c>
      <c r="N6" s="44">
        <f>Assumptions!N24</f>
        <v/>
      </c>
      <c r="O6" s="44">
        <f>Assumptions!O24</f>
        <v/>
      </c>
      <c r="P6" s="44">
        <f>Assumptions!P24</f>
        <v/>
      </c>
    </row>
    <row r="7">
      <c r="A7" s="17" t="inlineStr">
        <is>
          <t xml:space="preserve">  Insurance</t>
        </is>
      </c>
      <c r="B7" s="26">
        <f>Assumptions!B63</f>
        <v/>
      </c>
      <c r="C7" s="26">
        <f>Assumptions!C63</f>
        <v/>
      </c>
      <c r="D7" s="26">
        <f>Assumptions!D63</f>
        <v/>
      </c>
      <c r="E7" s="26">
        <f>Assumptions!E63</f>
        <v/>
      </c>
      <c r="F7" s="26">
        <f>Assumptions!F63</f>
        <v/>
      </c>
      <c r="G7" s="44">
        <f>Assumptions!G25</f>
        <v/>
      </c>
      <c r="H7" s="44">
        <f>Assumptions!H25</f>
        <v/>
      </c>
      <c r="I7" s="44">
        <f>Assumptions!I25</f>
        <v/>
      </c>
      <c r="J7" s="44">
        <f>Assumptions!J25</f>
        <v/>
      </c>
      <c r="K7" s="44">
        <f>Assumptions!K25</f>
        <v/>
      </c>
      <c r="L7" s="44">
        <f>Assumptions!L25</f>
        <v/>
      </c>
      <c r="M7" s="44">
        <f>Assumptions!M25</f>
        <v/>
      </c>
      <c r="N7" s="44">
        <f>Assumptions!N25</f>
        <v/>
      </c>
      <c r="O7" s="44">
        <f>Assumptions!O25</f>
        <v/>
      </c>
      <c r="P7" s="44">
        <f>Assumptions!P25</f>
        <v/>
      </c>
    </row>
    <row r="8">
      <c r="A8" s="17" t="inlineStr">
        <is>
          <t xml:space="preserve">  Regulatory</t>
        </is>
      </c>
      <c r="B8" s="26">
        <f>Assumptions!B64</f>
        <v/>
      </c>
      <c r="C8" s="26">
        <f>Assumptions!C64</f>
        <v/>
      </c>
      <c r="D8" s="26">
        <f>Assumptions!D64</f>
        <v/>
      </c>
      <c r="E8" s="26">
        <f>Assumptions!E64</f>
        <v/>
      </c>
      <c r="F8" s="26">
        <f>Assumptions!F64</f>
        <v/>
      </c>
      <c r="G8" s="44">
        <f>Assumptions!G26</f>
        <v/>
      </c>
      <c r="H8" s="44">
        <f>Assumptions!H26</f>
        <v/>
      </c>
      <c r="I8" s="44">
        <f>Assumptions!I26</f>
        <v/>
      </c>
      <c r="J8" s="44">
        <f>Assumptions!J26</f>
        <v/>
      </c>
      <c r="K8" s="44">
        <f>Assumptions!K26</f>
        <v/>
      </c>
      <c r="L8" s="44">
        <f>Assumptions!L26</f>
        <v/>
      </c>
      <c r="M8" s="44">
        <f>Assumptions!M26</f>
        <v/>
      </c>
      <c r="N8" s="44">
        <f>Assumptions!N26</f>
        <v/>
      </c>
      <c r="O8" s="44">
        <f>Assumptions!O26</f>
        <v/>
      </c>
      <c r="P8" s="44">
        <f>Assumptions!P26</f>
        <v/>
      </c>
    </row>
    <row r="9">
      <c r="A9" s="17" t="inlineStr">
        <is>
          <t>Total Opex</t>
        </is>
      </c>
      <c r="B9" s="42">
        <f>SUM(B5:B8)</f>
        <v/>
      </c>
      <c r="C9" s="42">
        <f>SUM(C5:C8)</f>
        <v/>
      </c>
      <c r="D9" s="42">
        <f>SUM(D5:D8)</f>
        <v/>
      </c>
      <c r="E9" s="42">
        <f>SUM(E5:E8)</f>
        <v/>
      </c>
      <c r="F9" s="42">
        <f>SUM(F5:F8)</f>
        <v/>
      </c>
      <c r="G9" s="42">
        <f>SUM(G5:G8)</f>
        <v/>
      </c>
      <c r="H9" s="42">
        <f>SUM(H5:H8)</f>
        <v/>
      </c>
      <c r="I9" s="42">
        <f>SUM(I5:I8)</f>
        <v/>
      </c>
      <c r="J9" s="42">
        <f>SUM(J5:J8)</f>
        <v/>
      </c>
      <c r="K9" s="42">
        <f>SUM(K5:K8)</f>
        <v/>
      </c>
      <c r="L9" s="42">
        <f>SUM(L5:L8)</f>
        <v/>
      </c>
      <c r="M9" s="42">
        <f>SUM(M5:M8)</f>
        <v/>
      </c>
      <c r="N9" s="42">
        <f>SUM(N5:N8)</f>
        <v/>
      </c>
      <c r="O9" s="42">
        <f>SUM(O5:O8)</f>
        <v/>
      </c>
      <c r="P9" s="42">
        <f>SUM(P5:P8)</f>
        <v/>
      </c>
    </row>
    <row r="11" ht="16" customHeight="1">
      <c r="A11" s="15" t="inlineStr">
        <is>
          <t>Capital Expenditure ($M) — Forecast sourced from Capex tab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Augmentation Capex</t>
        </is>
      </c>
      <c r="B12" s="26">
        <f>Assumptions!B67</f>
        <v/>
      </c>
      <c r="C12" s="26">
        <f>Assumptions!C67</f>
        <v/>
      </c>
      <c r="D12" s="26">
        <f>Assumptions!D67</f>
        <v/>
      </c>
      <c r="E12" s="26">
        <f>Assumptions!E67</f>
        <v/>
      </c>
      <c r="F12" s="26">
        <f>Assumptions!F67</f>
        <v/>
      </c>
      <c r="G12" s="44">
        <f>Capex!G5</f>
        <v/>
      </c>
      <c r="H12" s="44">
        <f>Capex!H5</f>
        <v/>
      </c>
      <c r="I12" s="44">
        <f>Capex!I5</f>
        <v/>
      </c>
      <c r="J12" s="44">
        <f>Capex!J5</f>
        <v/>
      </c>
      <c r="K12" s="44">
        <f>Capex!K5</f>
        <v/>
      </c>
      <c r="L12" s="44">
        <f>Capex!L5</f>
        <v/>
      </c>
      <c r="M12" s="44">
        <f>Capex!M5</f>
        <v/>
      </c>
      <c r="N12" s="44">
        <f>Capex!N5</f>
        <v/>
      </c>
      <c r="O12" s="44">
        <f>Capex!O5</f>
        <v/>
      </c>
      <c r="P12" s="44">
        <f>Capex!P5</f>
        <v/>
      </c>
    </row>
    <row r="13">
      <c r="A13" s="17" t="inlineStr">
        <is>
          <t xml:space="preserve">  Replacement / Renewal</t>
        </is>
      </c>
      <c r="B13" s="26">
        <f>Assumptions!B68</f>
        <v/>
      </c>
      <c r="C13" s="26">
        <f>Assumptions!C68</f>
        <v/>
      </c>
      <c r="D13" s="26">
        <f>Assumptions!D68</f>
        <v/>
      </c>
      <c r="E13" s="26">
        <f>Assumptions!E68</f>
        <v/>
      </c>
      <c r="F13" s="26">
        <f>Assumptions!F68</f>
        <v/>
      </c>
      <c r="G13" s="44">
        <f>Capex!G6</f>
        <v/>
      </c>
      <c r="H13" s="44">
        <f>Capex!H6</f>
        <v/>
      </c>
      <c r="I13" s="44">
        <f>Capex!I6</f>
        <v/>
      </c>
      <c r="J13" s="44">
        <f>Capex!J6</f>
        <v/>
      </c>
      <c r="K13" s="44">
        <f>Capex!K6</f>
        <v/>
      </c>
      <c r="L13" s="44">
        <f>Capex!L6</f>
        <v/>
      </c>
      <c r="M13" s="44">
        <f>Capex!M6</f>
        <v/>
      </c>
      <c r="N13" s="44">
        <f>Capex!N6</f>
        <v/>
      </c>
      <c r="O13" s="44">
        <f>Capex!O6</f>
        <v/>
      </c>
      <c r="P13" s="44">
        <f>Capex!P6</f>
        <v/>
      </c>
    </row>
    <row r="14">
      <c r="A14" s="17" t="inlineStr">
        <is>
          <t xml:space="preserve">  Connections</t>
        </is>
      </c>
      <c r="B14" s="26">
        <f>Assumptions!B69</f>
        <v/>
      </c>
      <c r="C14" s="26">
        <f>Assumptions!C69</f>
        <v/>
      </c>
      <c r="D14" s="26">
        <f>Assumptions!D69</f>
        <v/>
      </c>
      <c r="E14" s="26">
        <f>Assumptions!E69</f>
        <v/>
      </c>
      <c r="F14" s="26">
        <f>Assumptions!F69</f>
        <v/>
      </c>
      <c r="G14" s="44">
        <f>Capex!G7</f>
        <v/>
      </c>
      <c r="H14" s="44">
        <f>Capex!H7</f>
        <v/>
      </c>
      <c r="I14" s="44">
        <f>Capex!I7</f>
        <v/>
      </c>
      <c r="J14" s="44">
        <f>Capex!J7</f>
        <v/>
      </c>
      <c r="K14" s="44">
        <f>Capex!K7</f>
        <v/>
      </c>
      <c r="L14" s="44">
        <f>Capex!L7</f>
        <v/>
      </c>
      <c r="M14" s="44">
        <f>Capex!M7</f>
        <v/>
      </c>
      <c r="N14" s="44">
        <f>Capex!N7</f>
        <v/>
      </c>
      <c r="O14" s="44">
        <f>Capex!O7</f>
        <v/>
      </c>
      <c r="P14" s="44">
        <f>Capex!P7</f>
        <v/>
      </c>
    </row>
    <row r="15">
      <c r="A15" s="17" t="inlineStr">
        <is>
          <t>Total Capex</t>
        </is>
      </c>
      <c r="B15" s="42">
        <f>SUM(B12:B14)</f>
        <v/>
      </c>
      <c r="C15" s="42">
        <f>SUM(C12:C14)</f>
        <v/>
      </c>
      <c r="D15" s="42">
        <f>SUM(D12:D14)</f>
        <v/>
      </c>
      <c r="E15" s="42">
        <f>SUM(E12:E14)</f>
        <v/>
      </c>
      <c r="F15" s="42">
        <f>SUM(F12:F14)</f>
        <v/>
      </c>
      <c r="G15" s="42">
        <f>SUM(G12:G14)</f>
        <v/>
      </c>
      <c r="H15" s="42">
        <f>SUM(H12:H14)</f>
        <v/>
      </c>
      <c r="I15" s="42">
        <f>SUM(I12:I14)</f>
        <v/>
      </c>
      <c r="J15" s="42">
        <f>SUM(J12:J14)</f>
        <v/>
      </c>
      <c r="K15" s="42">
        <f>SUM(K12:K14)</f>
        <v/>
      </c>
      <c r="L15" s="42">
        <f>SUM(L12:L14)</f>
        <v/>
      </c>
      <c r="M15" s="42">
        <f>SUM(M12:M14)</f>
        <v/>
      </c>
      <c r="N15" s="42">
        <f>SUM(N12:N14)</f>
        <v/>
      </c>
      <c r="O15" s="42">
        <f>SUM(O12:O14)</f>
        <v/>
      </c>
      <c r="P15" s="42">
        <f>SUM(P12:P14)</f>
        <v/>
      </c>
    </row>
    <row r="17" ht="16" customHeight="1">
      <c r="A17" s="15" t="inlineStr">
        <is>
          <t>Opex Variance — Allowed vs Actual ($M)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 xml:space="preserve">  Opex Allowed (from PTRM)</t>
        </is>
      </c>
      <c r="B18" s="26">
        <f>PTRM!B7</f>
        <v/>
      </c>
      <c r="C18" s="26">
        <f>PTRM!C7</f>
        <v/>
      </c>
      <c r="D18" s="26">
        <f>PTRM!D7</f>
        <v/>
      </c>
      <c r="E18" s="26">
        <f>PTRM!E7</f>
        <v/>
      </c>
      <c r="F18" s="26">
        <f>PTRM!F7</f>
        <v/>
      </c>
      <c r="G18" s="44">
        <f>PTRM!G7</f>
        <v/>
      </c>
      <c r="H18" s="44">
        <f>PTRM!H7</f>
        <v/>
      </c>
      <c r="I18" s="44">
        <f>PTRM!I7</f>
        <v/>
      </c>
      <c r="J18" s="44">
        <f>PTRM!J7</f>
        <v/>
      </c>
      <c r="K18" s="44">
        <f>PTRM!K7</f>
        <v/>
      </c>
      <c r="L18" s="44">
        <f>PTRM!L7</f>
        <v/>
      </c>
      <c r="M18" s="44">
        <f>PTRM!M7</f>
        <v/>
      </c>
      <c r="N18" s="44">
        <f>PTRM!N7</f>
        <v/>
      </c>
      <c r="O18" s="44">
        <f>PTRM!O7</f>
        <v/>
      </c>
      <c r="P18" s="44">
        <f>PTRM!P7</f>
        <v/>
      </c>
    </row>
    <row r="19">
      <c r="A19" s="17" t="inlineStr">
        <is>
          <t xml:space="preserve">  Opex Actual (this sheet)</t>
        </is>
      </c>
      <c r="B19" s="26">
        <f>B9</f>
        <v/>
      </c>
      <c r="C19" s="26">
        <f>C9</f>
        <v/>
      </c>
      <c r="D19" s="26">
        <f>D9</f>
        <v/>
      </c>
      <c r="E19" s="26">
        <f>E9</f>
        <v/>
      </c>
      <c r="F19" s="26">
        <f>F9</f>
        <v/>
      </c>
      <c r="G19" s="44">
        <f>G9</f>
        <v/>
      </c>
      <c r="H19" s="44">
        <f>H9</f>
        <v/>
      </c>
      <c r="I19" s="44">
        <f>I9</f>
        <v/>
      </c>
      <c r="J19" s="44">
        <f>J9</f>
        <v/>
      </c>
      <c r="K19" s="44">
        <f>K9</f>
        <v/>
      </c>
      <c r="L19" s="44">
        <f>L9</f>
        <v/>
      </c>
      <c r="M19" s="44">
        <f>M9</f>
        <v/>
      </c>
      <c r="N19" s="44">
        <f>N9</f>
        <v/>
      </c>
      <c r="O19" s="44">
        <f>O9</f>
        <v/>
      </c>
      <c r="P19" s="44">
        <f>P9</f>
        <v/>
      </c>
    </row>
    <row r="20">
      <c r="A20" s="17" t="inlineStr">
        <is>
          <t xml:space="preserve">  Variance (Allowed − Actual)</t>
        </is>
      </c>
      <c r="B20" s="45">
        <f>B18-B19</f>
        <v/>
      </c>
      <c r="C20" s="45">
        <f>C18-C19</f>
        <v/>
      </c>
      <c r="D20" s="45">
        <f>D18-D19</f>
        <v/>
      </c>
      <c r="E20" s="45">
        <f>E18-E19</f>
        <v/>
      </c>
      <c r="F20" s="45">
        <f>F18-F19</f>
        <v/>
      </c>
      <c r="G20" s="39">
        <f>G18-G19</f>
        <v/>
      </c>
      <c r="H20" s="39">
        <f>H18-H19</f>
        <v/>
      </c>
      <c r="I20" s="39">
        <f>I18-I19</f>
        <v/>
      </c>
      <c r="J20" s="39">
        <f>J18-J19</f>
        <v/>
      </c>
      <c r="K20" s="39">
        <f>K18-K19</f>
        <v/>
      </c>
      <c r="L20" s="39">
        <f>L18-L19</f>
        <v/>
      </c>
      <c r="M20" s="39">
        <f>M18-M19</f>
        <v/>
      </c>
      <c r="N20" s="39">
        <f>N18-N19</f>
        <v/>
      </c>
      <c r="O20" s="39">
        <f>O18-O19</f>
        <v/>
      </c>
      <c r="P20" s="39">
        <f>P18-P19</f>
        <v/>
      </c>
    </row>
    <row r="22" ht="16" customHeight="1">
      <c r="A22" s="15" t="inlineStr">
        <is>
          <t>Efficiency Carryover Mechanism (ECM)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ECM Sharing Rate</t>
        </is>
      </c>
      <c r="B23" s="18" t="n">
        <v>0.3</v>
      </c>
    </row>
    <row r="24">
      <c r="A24" s="17" t="inlineStr">
        <is>
          <t xml:space="preserve">  ECM Benefit ($M)</t>
        </is>
      </c>
      <c r="B24" s="26">
        <f>MAX(B20,0)*$B$23</f>
        <v/>
      </c>
      <c r="C24" s="26">
        <f>MAX(C20,0)*$B$23</f>
        <v/>
      </c>
      <c r="D24" s="26">
        <f>MAX(D20,0)*$B$23</f>
        <v/>
      </c>
      <c r="E24" s="26">
        <f>MAX(E20,0)*$B$23</f>
        <v/>
      </c>
      <c r="F24" s="26">
        <f>MAX(F20,0)*$B$23</f>
        <v/>
      </c>
      <c r="G24" s="44">
        <f>MAX(G20,0)*$B$23</f>
        <v/>
      </c>
      <c r="H24" s="44">
        <f>MAX(H20,0)*$B$23</f>
        <v/>
      </c>
      <c r="I24" s="44">
        <f>MAX(I20,0)*$B$23</f>
        <v/>
      </c>
      <c r="J24" s="44">
        <f>MAX(J20,0)*$B$23</f>
        <v/>
      </c>
      <c r="K24" s="44">
        <f>MAX(K20,0)*$B$23</f>
        <v/>
      </c>
      <c r="L24" s="44">
        <f>MAX(L20,0)*$B$23</f>
        <v/>
      </c>
      <c r="M24" s="44">
        <f>MAX(M20,0)*$B$23</f>
        <v/>
      </c>
      <c r="N24" s="44">
        <f>MAX(N20,0)*$B$23</f>
        <v/>
      </c>
      <c r="O24" s="44">
        <f>MAX(O20,0)*$B$23</f>
        <v/>
      </c>
      <c r="P24" s="44">
        <f>MAX(P20,0)*$B$23</f>
        <v/>
      </c>
    </row>
  </sheetData>
  <mergeCells count="1">
    <mergeCell ref="A1:P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Q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1" t="inlineStr">
        <is>
          <t>FRONTIER PRICING MODEL — Efficiency Shift &amp; X-Factor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Frontier Efficiency Adjustment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Cumulative Frontier Shift Factor</t>
        </is>
      </c>
      <c r="B5" s="29" t="n">
        <v>1</v>
      </c>
      <c r="C5" s="29" t="n">
        <v>1</v>
      </c>
      <c r="D5" s="29" t="n">
        <v>1</v>
      </c>
      <c r="E5" s="29" t="n">
        <v>1</v>
      </c>
      <c r="F5" s="29" t="n">
        <v>1</v>
      </c>
      <c r="G5" s="31">
        <f>(1-Assumptions!$B$56)^1</f>
        <v/>
      </c>
      <c r="H5" s="31">
        <f>(1-Assumptions!$B$56)^2</f>
        <v/>
      </c>
      <c r="I5" s="31">
        <f>(1-Assumptions!$B$56)^3</f>
        <v/>
      </c>
      <c r="J5" s="31">
        <f>(1-Assumptions!$B$56)^4</f>
        <v/>
      </c>
      <c r="K5" s="31">
        <f>(1-Assumptions!$B$56)^5</f>
        <v/>
      </c>
      <c r="L5" s="31">
        <f>(1-Assumptions!$B$56)^6</f>
        <v/>
      </c>
      <c r="M5" s="31">
        <f>(1-Assumptions!$B$56)^7</f>
        <v/>
      </c>
      <c r="N5" s="31">
        <f>(1-Assumptions!$B$56)^8</f>
        <v/>
      </c>
      <c r="O5" s="31">
        <f>(1-Assumptions!$B$56)^9</f>
        <v/>
      </c>
      <c r="P5" s="31">
        <f>(1-Assumptions!$B$56)^10</f>
        <v/>
      </c>
    </row>
    <row r="6">
      <c r="A6" s="17" t="inlineStr">
        <is>
          <t xml:space="preserve">  Raw Opex — from REFM ($M)</t>
        </is>
      </c>
      <c r="B6" s="26">
        <f>REFM!B9</f>
        <v/>
      </c>
      <c r="C6" s="26">
        <f>REFM!C9</f>
        <v/>
      </c>
      <c r="D6" s="26">
        <f>REFM!D9</f>
        <v/>
      </c>
      <c r="E6" s="26">
        <f>REFM!E9</f>
        <v/>
      </c>
      <c r="F6" s="26">
        <f>REFM!F9</f>
        <v/>
      </c>
      <c r="G6" s="44">
        <f>REFM!G9</f>
        <v/>
      </c>
      <c r="H6" s="44">
        <f>REFM!H9</f>
        <v/>
      </c>
      <c r="I6" s="44">
        <f>REFM!I9</f>
        <v/>
      </c>
      <c r="J6" s="44">
        <f>REFM!J9</f>
        <v/>
      </c>
      <c r="K6" s="44">
        <f>REFM!K9</f>
        <v/>
      </c>
      <c r="L6" s="44">
        <f>REFM!L9</f>
        <v/>
      </c>
      <c r="M6" s="44">
        <f>REFM!M9</f>
        <v/>
      </c>
      <c r="N6" s="44">
        <f>REFM!N9</f>
        <v/>
      </c>
      <c r="O6" s="44">
        <f>REFM!O9</f>
        <v/>
      </c>
      <c r="P6" s="44">
        <f>REFM!P9</f>
        <v/>
      </c>
    </row>
    <row r="7">
      <c r="A7" s="17" t="inlineStr">
        <is>
          <t xml:space="preserve">  Frontier-Adjusted Opex Allowance ($M)</t>
        </is>
      </c>
      <c r="B7" s="26">
        <f>REFM!B9</f>
        <v/>
      </c>
      <c r="C7" s="26">
        <f>REFM!C9</f>
        <v/>
      </c>
      <c r="D7" s="26">
        <f>REFM!D9</f>
        <v/>
      </c>
      <c r="E7" s="26">
        <f>REFM!E9</f>
        <v/>
      </c>
      <c r="F7" s="26">
        <f>REFM!F9</f>
        <v/>
      </c>
      <c r="G7" s="44">
        <f>REFM!G9*G5*Assumptions!$B$57</f>
        <v/>
      </c>
      <c r="H7" s="44">
        <f>REFM!H9*H5*Assumptions!$B$57</f>
        <v/>
      </c>
      <c r="I7" s="44">
        <f>REFM!I9*I5*Assumptions!$B$57</f>
        <v/>
      </c>
      <c r="J7" s="44">
        <f>REFM!J9*J5*Assumptions!$B$57</f>
        <v/>
      </c>
      <c r="K7" s="44">
        <f>REFM!K9*K5*Assumptions!$B$57</f>
        <v/>
      </c>
      <c r="L7" s="44">
        <f>REFM!L9*L5*Assumptions!$B$57</f>
        <v/>
      </c>
      <c r="M7" s="44">
        <f>REFM!M9*M5*Assumptions!$B$57</f>
        <v/>
      </c>
      <c r="N7" s="44">
        <f>REFM!N9*N5*Assumptions!$B$57</f>
        <v/>
      </c>
      <c r="O7" s="44">
        <f>REFM!O9*O5*Assumptions!$B$57</f>
        <v/>
      </c>
      <c r="P7" s="44">
        <f>REFM!P9*P5*Assumptions!$B$57</f>
        <v/>
      </c>
    </row>
    <row r="8">
      <c r="A8" s="17" t="inlineStr">
        <is>
          <t xml:space="preserve">  Raw Capex — from REFM ($M)</t>
        </is>
      </c>
      <c r="B8" s="26">
        <f>REFM!B15</f>
        <v/>
      </c>
      <c r="C8" s="26">
        <f>REFM!C15</f>
        <v/>
      </c>
      <c r="D8" s="26">
        <f>REFM!D15</f>
        <v/>
      </c>
      <c r="E8" s="26">
        <f>REFM!E15</f>
        <v/>
      </c>
      <c r="F8" s="26">
        <f>REFM!F15</f>
        <v/>
      </c>
      <c r="G8" s="44">
        <f>REFM!G15</f>
        <v/>
      </c>
      <c r="H8" s="44">
        <f>REFM!H15</f>
        <v/>
      </c>
      <c r="I8" s="44">
        <f>REFM!I15</f>
        <v/>
      </c>
      <c r="J8" s="44">
        <f>REFM!J15</f>
        <v/>
      </c>
      <c r="K8" s="44">
        <f>REFM!K15</f>
        <v/>
      </c>
      <c r="L8" s="44">
        <f>REFM!L15</f>
        <v/>
      </c>
      <c r="M8" s="44">
        <f>REFM!M15</f>
        <v/>
      </c>
      <c r="N8" s="44">
        <f>REFM!N15</f>
        <v/>
      </c>
      <c r="O8" s="44">
        <f>REFM!O15</f>
        <v/>
      </c>
      <c r="P8" s="44">
        <f>REFM!P15</f>
        <v/>
      </c>
    </row>
    <row r="9">
      <c r="A9" s="17" t="inlineStr">
        <is>
          <t xml:space="preserve">  Frontier-Adjusted Capex ($M)</t>
        </is>
      </c>
      <c r="B9" s="26">
        <f>REFM!B15</f>
        <v/>
      </c>
      <c r="C9" s="26">
        <f>REFM!C15</f>
        <v/>
      </c>
      <c r="D9" s="26">
        <f>REFM!D15</f>
        <v/>
      </c>
      <c r="E9" s="26">
        <f>REFM!E15</f>
        <v/>
      </c>
      <c r="F9" s="26">
        <f>REFM!F15</f>
        <v/>
      </c>
      <c r="G9" s="44">
        <f>REFM!G15*Assumptions!$B$58</f>
        <v/>
      </c>
      <c r="H9" s="44">
        <f>REFM!H15*Assumptions!$B$58</f>
        <v/>
      </c>
      <c r="I9" s="44">
        <f>REFM!I15*Assumptions!$B$58</f>
        <v/>
      </c>
      <c r="J9" s="44">
        <f>REFM!J15*Assumptions!$B$58</f>
        <v/>
      </c>
      <c r="K9" s="44">
        <f>REFM!K15*Assumptions!$B$58</f>
        <v/>
      </c>
      <c r="L9" s="44">
        <f>REFM!L15*Assumptions!$B$58</f>
        <v/>
      </c>
      <c r="M9" s="44">
        <f>REFM!M15*Assumptions!$B$58</f>
        <v/>
      </c>
      <c r="N9" s="44">
        <f>REFM!N15*Assumptions!$B$58</f>
        <v/>
      </c>
      <c r="O9" s="44">
        <f>REFM!O15*Assumptions!$B$58</f>
        <v/>
      </c>
      <c r="P9" s="44">
        <f>REFM!P15*Assumptions!$B$58</f>
        <v/>
      </c>
    </row>
    <row r="11">
      <c r="A11" s="17" t="inlineStr">
        <is>
          <t xml:space="preserve">  X-Factor (%)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0">
        <f>Assumptions!$B$56</f>
        <v/>
      </c>
      <c r="H11" s="20">
        <f>Assumptions!$B$56</f>
        <v/>
      </c>
      <c r="I11" s="20">
        <f>Assumptions!$B$56</f>
        <v/>
      </c>
      <c r="J11" s="20">
        <f>Assumptions!$B$56</f>
        <v/>
      </c>
      <c r="K11" s="20">
        <f>Assumptions!$B$56</f>
        <v/>
      </c>
      <c r="L11" s="20">
        <f>Assumptions!$B$56</f>
        <v/>
      </c>
      <c r="M11" s="20">
        <f>Assumptions!$B$56</f>
        <v/>
      </c>
      <c r="N11" s="20">
        <f>Assumptions!$B$56</f>
        <v/>
      </c>
      <c r="O11" s="20">
        <f>Assumptions!$B$56</f>
        <v/>
      </c>
      <c r="P11" s="20">
        <f>Assumptions!$B$56</f>
        <v/>
      </c>
    </row>
  </sheetData>
  <mergeCells count="1">
    <mergeCell ref="A1:P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Q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2" t="inlineStr">
        <is>
          <t>REGULATORY ASSET BASE (RAB) ROLL-FORWARD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RAB Roll-Forward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Opening RAB</t>
        </is>
      </c>
      <c r="B5" s="26">
        <f>Assumptions!$B$34</f>
        <v/>
      </c>
      <c r="C5" s="26">
        <f>B9</f>
        <v/>
      </c>
      <c r="D5" s="26">
        <f>C9</f>
        <v/>
      </c>
      <c r="E5" s="26">
        <f>D9</f>
        <v/>
      </c>
      <c r="F5" s="26">
        <f>E9</f>
        <v/>
      </c>
      <c r="G5" s="44">
        <f>F9</f>
        <v/>
      </c>
      <c r="H5" s="44">
        <f>G9</f>
        <v/>
      </c>
      <c r="I5" s="44">
        <f>H9</f>
        <v/>
      </c>
      <c r="J5" s="44">
        <f>I9</f>
        <v/>
      </c>
      <c r="K5" s="44">
        <f>J9</f>
        <v/>
      </c>
      <c r="L5" s="44">
        <f>K9</f>
        <v/>
      </c>
      <c r="M5" s="44">
        <f>L9</f>
        <v/>
      </c>
      <c r="N5" s="44">
        <f>M9</f>
        <v/>
      </c>
      <c r="O5" s="44">
        <f>N9</f>
        <v/>
      </c>
      <c r="P5" s="44">
        <f>O9</f>
        <v/>
      </c>
    </row>
    <row r="6">
      <c r="A6" s="17" t="inlineStr">
        <is>
          <t xml:space="preserve">  + CPI Indexation</t>
        </is>
      </c>
      <c r="B6" s="26">
        <f>B5*Assumptions!B15</f>
        <v/>
      </c>
      <c r="C6" s="26">
        <f>C5*Assumptions!C15</f>
        <v/>
      </c>
      <c r="D6" s="26">
        <f>D5*Assumptions!D15</f>
        <v/>
      </c>
      <c r="E6" s="26">
        <f>E5*Assumptions!E15</f>
        <v/>
      </c>
      <c r="F6" s="26">
        <f>F5*Assumptions!F15</f>
        <v/>
      </c>
      <c r="G6" s="44">
        <f>G5*Assumptions!G15</f>
        <v/>
      </c>
      <c r="H6" s="44">
        <f>H5*Assumptions!H15</f>
        <v/>
      </c>
      <c r="I6" s="44">
        <f>I5*Assumptions!I15</f>
        <v/>
      </c>
      <c r="J6" s="44">
        <f>J5*Assumptions!J15</f>
        <v/>
      </c>
      <c r="K6" s="44">
        <f>K5*Assumptions!K15</f>
        <v/>
      </c>
      <c r="L6" s="44">
        <f>L5*Assumptions!L15</f>
        <v/>
      </c>
      <c r="M6" s="44">
        <f>M5*Assumptions!M15</f>
        <v/>
      </c>
      <c r="N6" s="44">
        <f>N5*Assumptions!N15</f>
        <v/>
      </c>
      <c r="O6" s="44">
        <f>O5*Assumptions!O15</f>
        <v/>
      </c>
      <c r="P6" s="44">
        <f>P5*Assumptions!P15</f>
        <v/>
      </c>
    </row>
    <row r="7">
      <c r="A7" s="17" t="inlineStr">
        <is>
          <t xml:space="preserve">  + Capex Additions (commissioned)</t>
        </is>
      </c>
      <c r="B7" s="26">
        <f>REFM!B15</f>
        <v/>
      </c>
      <c r="C7" s="26">
        <f>REFM!C15</f>
        <v/>
      </c>
      <c r="D7" s="26">
        <f>REFM!D15</f>
        <v/>
      </c>
      <c r="E7" s="26">
        <f>REFM!E15</f>
        <v/>
      </c>
      <c r="F7" s="26">
        <f>REFM!F15</f>
        <v/>
      </c>
      <c r="G7" s="44">
        <f>'Reg Output - Commissioned'!G28</f>
        <v/>
      </c>
      <c r="H7" s="44">
        <f>'Reg Output - Commissioned'!H28</f>
        <v/>
      </c>
      <c r="I7" s="44">
        <f>'Reg Output - Commissioned'!I28</f>
        <v/>
      </c>
      <c r="J7" s="44">
        <f>'Reg Output - Commissioned'!J28</f>
        <v/>
      </c>
      <c r="K7" s="44">
        <f>'Reg Output - Commissioned'!K28</f>
        <v/>
      </c>
      <c r="L7" s="44">
        <f>'Reg Output - Commissioned'!L28</f>
        <v/>
      </c>
      <c r="M7" s="44">
        <f>'Reg Output - Commissioned'!M28</f>
        <v/>
      </c>
      <c r="N7" s="44">
        <f>'Reg Output - Commissioned'!N28</f>
        <v/>
      </c>
      <c r="O7" s="44">
        <f>'Reg Output - Commissioned'!O28</f>
        <v/>
      </c>
      <c r="P7" s="44">
        <f>'Reg Output - Commissioned'!P28</f>
        <v/>
      </c>
    </row>
    <row r="8">
      <c r="A8" s="17" t="inlineStr">
        <is>
          <t xml:space="preserve">  − Regulatory Depreciation</t>
        </is>
      </c>
      <c r="B8" s="26">
        <f>B5/Assumptions!$B$35</f>
        <v/>
      </c>
      <c r="C8" s="26">
        <f>C5/Assumptions!$B$35</f>
        <v/>
      </c>
      <c r="D8" s="26">
        <f>D5/Assumptions!$B$35</f>
        <v/>
      </c>
      <c r="E8" s="26">
        <f>E5/Assumptions!$B$35</f>
        <v/>
      </c>
      <c r="F8" s="26">
        <f>F5/Assumptions!$B$35</f>
        <v/>
      </c>
      <c r="G8" s="44">
        <f>G5/Assumptions!$B$35</f>
        <v/>
      </c>
      <c r="H8" s="44">
        <f>H5/Assumptions!$B$35</f>
        <v/>
      </c>
      <c r="I8" s="44">
        <f>I5/Assumptions!$B$35</f>
        <v/>
      </c>
      <c r="J8" s="44">
        <f>J5/Assumptions!$B$35</f>
        <v/>
      </c>
      <c r="K8" s="44">
        <f>K5/Assumptions!$B$35</f>
        <v/>
      </c>
      <c r="L8" s="44">
        <f>L5/Assumptions!$B$35</f>
        <v/>
      </c>
      <c r="M8" s="44">
        <f>M5/Assumptions!$B$35</f>
        <v/>
      </c>
      <c r="N8" s="44">
        <f>N5/Assumptions!$B$35</f>
        <v/>
      </c>
      <c r="O8" s="44">
        <f>O5/Assumptions!$B$35</f>
        <v/>
      </c>
      <c r="P8" s="44">
        <f>P5/Assumptions!$B$35</f>
        <v/>
      </c>
    </row>
    <row r="9">
      <c r="A9" s="17" t="inlineStr">
        <is>
          <t xml:space="preserve">  = Closing RAB</t>
        </is>
      </c>
      <c r="B9" s="42">
        <f>B5+B6+B7-B8</f>
        <v/>
      </c>
      <c r="C9" s="42">
        <f>C5+C6+C7-C8</f>
        <v/>
      </c>
      <c r="D9" s="42">
        <f>D5+D6+D7-D8</f>
        <v/>
      </c>
      <c r="E9" s="42">
        <f>E5+E6+E7-E8</f>
        <v/>
      </c>
      <c r="F9" s="42">
        <f>F5+F6+F7-F8</f>
        <v/>
      </c>
      <c r="G9" s="42">
        <f>G5+G6+G7-G8</f>
        <v/>
      </c>
      <c r="H9" s="42">
        <f>H5+H6+H7-H8</f>
        <v/>
      </c>
      <c r="I9" s="42">
        <f>I5+I6+I7-I8</f>
        <v/>
      </c>
      <c r="J9" s="42">
        <f>J5+J6+J7-J8</f>
        <v/>
      </c>
      <c r="K9" s="42">
        <f>K5+K6+K7-K8</f>
        <v/>
      </c>
      <c r="L9" s="42">
        <f>L5+L6+L7-L8</f>
        <v/>
      </c>
      <c r="M9" s="42">
        <f>M5+M6+M7-M8</f>
        <v/>
      </c>
      <c r="N9" s="42">
        <f>N5+N6+N7-N8</f>
        <v/>
      </c>
      <c r="O9" s="42">
        <f>O5+O6+O7-O8</f>
        <v/>
      </c>
      <c r="P9" s="42">
        <f>P5+P6+P7-P8</f>
        <v/>
      </c>
    </row>
    <row r="11">
      <c r="A11" s="17" t="inlineStr">
        <is>
          <t xml:space="preserve">  Average RAB (Return on RAB base)</t>
        </is>
      </c>
      <c r="B11" s="26">
        <f>(B5+B9)/2</f>
        <v/>
      </c>
      <c r="C11" s="26">
        <f>(C5+C9)/2</f>
        <v/>
      </c>
      <c r="D11" s="26">
        <f>(D5+D9)/2</f>
        <v/>
      </c>
      <c r="E11" s="26">
        <f>(E5+E9)/2</f>
        <v/>
      </c>
      <c r="F11" s="26">
        <f>(F5+F9)/2</f>
        <v/>
      </c>
      <c r="G11" s="44">
        <f>(G5+G9)/2</f>
        <v/>
      </c>
      <c r="H11" s="44">
        <f>(H5+H9)/2</f>
        <v/>
      </c>
      <c r="I11" s="44">
        <f>(I5+I9)/2</f>
        <v/>
      </c>
      <c r="J11" s="44">
        <f>(J5+J9)/2</f>
        <v/>
      </c>
      <c r="K11" s="44">
        <f>(K5+K9)/2</f>
        <v/>
      </c>
      <c r="L11" s="44">
        <f>(L5+L9)/2</f>
        <v/>
      </c>
      <c r="M11" s="44">
        <f>(M5+M9)/2</f>
        <v/>
      </c>
      <c r="N11" s="44">
        <f>(N5+N9)/2</f>
        <v/>
      </c>
      <c r="O11" s="44">
        <f>(O5+O9)/2</f>
        <v/>
      </c>
      <c r="P11" s="44">
        <f>(P5+P9)/2</f>
        <v/>
      </c>
    </row>
    <row r="13" ht="16" customHeight="1">
      <c r="A13" s="15" t="inlineStr">
        <is>
          <t>Accumulated Regulatory Depreciation ($M)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>
      <c r="A14" s="17" t="inlineStr">
        <is>
          <t xml:space="preserve">  Accum. Reg. Depreciation (closing)</t>
        </is>
      </c>
      <c r="B14" s="26">
        <f>Assumptions!$B$36+B8</f>
        <v/>
      </c>
      <c r="C14" s="26">
        <f>B14+C8</f>
        <v/>
      </c>
      <c r="D14" s="26">
        <f>C14+D8</f>
        <v/>
      </c>
      <c r="E14" s="26">
        <f>D14+E8</f>
        <v/>
      </c>
      <c r="F14" s="26">
        <f>E14+F8</f>
        <v/>
      </c>
      <c r="G14" s="44">
        <f>F14+G8</f>
        <v/>
      </c>
      <c r="H14" s="44">
        <f>G14+H8</f>
        <v/>
      </c>
      <c r="I14" s="44">
        <f>H14+I8</f>
        <v/>
      </c>
      <c r="J14" s="44">
        <f>I14+J8</f>
        <v/>
      </c>
      <c r="K14" s="44">
        <f>J14+K8</f>
        <v/>
      </c>
      <c r="L14" s="44">
        <f>K14+L8</f>
        <v/>
      </c>
      <c r="M14" s="44">
        <f>L14+M8</f>
        <v/>
      </c>
      <c r="N14" s="44">
        <f>M14+N8</f>
        <v/>
      </c>
      <c r="O14" s="44">
        <f>N14+O8</f>
        <v/>
      </c>
      <c r="P14" s="44">
        <f>O14+P8</f>
        <v/>
      </c>
    </row>
  </sheetData>
  <mergeCells count="1">
    <mergeCell ref="A1:P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B0082"/>
    <outlinePr summaryBelow="1" summaryRight="1"/>
    <pageSetUpPr/>
  </sheetPr>
  <dimension ref="A1:Q6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6" t="inlineStr">
        <is>
          <t>RAB ROLL-FORWARD MODEL — Detailed by Asset Class (AER Standard Lives)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TRANSMISSION LINES  |  AER Standard Life: 60 years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  Opening RAB ($M)</t>
        </is>
      </c>
      <c r="B5" s="26" t="n">
        <v>2400</v>
      </c>
      <c r="C5" s="26" t="n">
        <v>2536</v>
      </c>
      <c r="D5" s="26" t="n">
        <v>2689.3</v>
      </c>
      <c r="E5" s="26" t="n">
        <v>2857.9</v>
      </c>
      <c r="F5" s="26" t="n">
        <v>3073.5</v>
      </c>
      <c r="G5" s="44">
        <f>F9</f>
        <v/>
      </c>
      <c r="H5" s="44">
        <f>G9</f>
        <v/>
      </c>
      <c r="I5" s="44">
        <f>H9</f>
        <v/>
      </c>
      <c r="J5" s="44">
        <f>I9</f>
        <v/>
      </c>
      <c r="K5" s="44">
        <f>J9</f>
        <v/>
      </c>
      <c r="L5" s="44">
        <f>K9</f>
        <v/>
      </c>
      <c r="M5" s="44">
        <f>L9</f>
        <v/>
      </c>
      <c r="N5" s="44">
        <f>M9</f>
        <v/>
      </c>
      <c r="O5" s="44">
        <f>N9</f>
        <v/>
      </c>
      <c r="P5" s="44">
        <f>O9</f>
        <v/>
      </c>
    </row>
    <row r="6">
      <c r="A6" s="17" t="inlineStr">
        <is>
          <t xml:space="preserve">    + CPI Indexation</t>
        </is>
      </c>
      <c r="B6" s="26" t="n">
        <v>36</v>
      </c>
      <c r="C6" s="26" t="n">
        <v>43.1</v>
      </c>
      <c r="D6" s="26" t="n">
        <v>48.4</v>
      </c>
      <c r="E6" s="26" t="n">
        <v>85.7</v>
      </c>
      <c r="F6" s="26" t="n">
        <v>184.4</v>
      </c>
      <c r="G6" s="44">
        <f>G5*Assumptions!G15</f>
        <v/>
      </c>
      <c r="H6" s="44">
        <f>H5*Assumptions!H15</f>
        <v/>
      </c>
      <c r="I6" s="44">
        <f>I5*Assumptions!I15</f>
        <v/>
      </c>
      <c r="J6" s="44">
        <f>J5*Assumptions!J15</f>
        <v/>
      </c>
      <c r="K6" s="44">
        <f>K5*Assumptions!K15</f>
        <v/>
      </c>
      <c r="L6" s="44">
        <f>L5*Assumptions!L15</f>
        <v/>
      </c>
      <c r="M6" s="44">
        <f>M5*Assumptions!M15</f>
        <v/>
      </c>
      <c r="N6" s="44">
        <f>N5*Assumptions!N15</f>
        <v/>
      </c>
      <c r="O6" s="44">
        <f>O5*Assumptions!O15</f>
        <v/>
      </c>
      <c r="P6" s="44">
        <f>P5*Assumptions!P15</f>
        <v/>
      </c>
    </row>
    <row r="7">
      <c r="A7" s="17" t="inlineStr">
        <is>
          <t xml:space="preserve">    + Capex Additions (×50% allocation)</t>
        </is>
      </c>
      <c r="B7" s="26" t="n">
        <v>140</v>
      </c>
      <c r="C7" s="26" t="n">
        <v>152.5</v>
      </c>
      <c r="D7" s="26" t="n">
        <v>165</v>
      </c>
      <c r="E7" s="26" t="n">
        <v>177.5</v>
      </c>
      <c r="F7" s="26" t="n">
        <v>190</v>
      </c>
      <c r="G7" s="44">
        <f>'Fixed Assets'!G7</f>
        <v/>
      </c>
      <c r="H7" s="44">
        <f>'Fixed Assets'!H7</f>
        <v/>
      </c>
      <c r="I7" s="44">
        <f>'Fixed Assets'!I7</f>
        <v/>
      </c>
      <c r="J7" s="44">
        <f>'Fixed Assets'!J7</f>
        <v/>
      </c>
      <c r="K7" s="44">
        <f>'Fixed Assets'!K7</f>
        <v/>
      </c>
      <c r="L7" s="44">
        <f>'Fixed Assets'!L7</f>
        <v/>
      </c>
      <c r="M7" s="44">
        <f>'Fixed Assets'!M7</f>
        <v/>
      </c>
      <c r="N7" s="44">
        <f>'Fixed Assets'!N7</f>
        <v/>
      </c>
      <c r="O7" s="44">
        <f>'Fixed Assets'!O7</f>
        <v/>
      </c>
      <c r="P7" s="44">
        <f>'Fixed Assets'!P7</f>
        <v/>
      </c>
    </row>
    <row r="8">
      <c r="A8" s="17" t="inlineStr">
        <is>
          <t xml:space="preserve">    − Regulatory Depreciation  (÷ 60 yr AER life)</t>
        </is>
      </c>
      <c r="B8" s="26" t="n">
        <v>40</v>
      </c>
      <c r="C8" s="26" t="n">
        <v>42.3</v>
      </c>
      <c r="D8" s="26" t="n">
        <v>44.8</v>
      </c>
      <c r="E8" s="26" t="n">
        <v>47.6</v>
      </c>
      <c r="F8" s="26" t="n">
        <v>51.2</v>
      </c>
      <c r="G8" s="44">
        <f>G5/60</f>
        <v/>
      </c>
      <c r="H8" s="44">
        <f>H5/60</f>
        <v/>
      </c>
      <c r="I8" s="44">
        <f>I5/60</f>
        <v/>
      </c>
      <c r="J8" s="44">
        <f>J5/60</f>
        <v/>
      </c>
      <c r="K8" s="44">
        <f>K5/60</f>
        <v/>
      </c>
      <c r="L8" s="44">
        <f>L5/60</f>
        <v/>
      </c>
      <c r="M8" s="44">
        <f>M5/60</f>
        <v/>
      </c>
      <c r="N8" s="44">
        <f>N5/60</f>
        <v/>
      </c>
      <c r="O8" s="44">
        <f>O5/60</f>
        <v/>
      </c>
      <c r="P8" s="44">
        <f>P5/60</f>
        <v/>
      </c>
    </row>
    <row r="9">
      <c r="A9" s="17" t="inlineStr">
        <is>
          <t xml:space="preserve">    = Closing RAB</t>
        </is>
      </c>
      <c r="B9" s="45" t="n">
        <v>2536</v>
      </c>
      <c r="C9" s="45" t="n">
        <v>2689.3</v>
      </c>
      <c r="D9" s="45" t="n">
        <v>2857.9</v>
      </c>
      <c r="E9" s="45" t="n">
        <v>3073.5</v>
      </c>
      <c r="F9" s="45" t="n">
        <v>3396.7</v>
      </c>
      <c r="G9" s="42">
        <f>G5+G6+G7-G8</f>
        <v/>
      </c>
      <c r="H9" s="42">
        <f>H5+H6+H7-H8</f>
        <v/>
      </c>
      <c r="I9" s="42">
        <f>I5+I6+I7-I8</f>
        <v/>
      </c>
      <c r="J9" s="42">
        <f>J5+J6+J7-J8</f>
        <v/>
      </c>
      <c r="K9" s="42">
        <f>K5+K6+K7-K8</f>
        <v/>
      </c>
      <c r="L9" s="42">
        <f>L5+L6+L7-L8</f>
        <v/>
      </c>
      <c r="M9" s="42">
        <f>M5+M6+M7-M8</f>
        <v/>
      </c>
      <c r="N9" s="42">
        <f>N5+N6+N7-N8</f>
        <v/>
      </c>
      <c r="O9" s="42">
        <f>O5+O6+O7-O8</f>
        <v/>
      </c>
      <c r="P9" s="42">
        <f>P5+P6+P7-P8</f>
        <v/>
      </c>
    </row>
    <row r="11" ht="16" customHeight="1">
      <c r="A11" s="15" t="inlineStr">
        <is>
          <t>SUBSTATIONS  |  AER Standard Life: 55 years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  Opening RAB ($M)</t>
        </is>
      </c>
      <c r="B12" s="26" t="n">
        <v>1440</v>
      </c>
      <c r="C12" s="26" t="n">
        <v>1519.4</v>
      </c>
      <c r="D12" s="26" t="n">
        <v>1609.1</v>
      </c>
      <c r="E12" s="26" t="n">
        <v>1707.8</v>
      </c>
      <c r="F12" s="26" t="n">
        <v>1834.4</v>
      </c>
      <c r="G12" s="44">
        <f>F16</f>
        <v/>
      </c>
      <c r="H12" s="44">
        <f>G16</f>
        <v/>
      </c>
      <c r="I12" s="44">
        <f>H16</f>
        <v/>
      </c>
      <c r="J12" s="44">
        <f>I16</f>
        <v/>
      </c>
      <c r="K12" s="44">
        <f>J16</f>
        <v/>
      </c>
      <c r="L12" s="44">
        <f>K16</f>
        <v/>
      </c>
      <c r="M12" s="44">
        <f>L16</f>
        <v/>
      </c>
      <c r="N12" s="44">
        <f>M16</f>
        <v/>
      </c>
      <c r="O12" s="44">
        <f>N16</f>
        <v/>
      </c>
      <c r="P12" s="44">
        <f>O16</f>
        <v/>
      </c>
    </row>
    <row r="13">
      <c r="A13" s="17" t="inlineStr">
        <is>
          <t xml:space="preserve">    + CPI Indexation</t>
        </is>
      </c>
      <c r="B13" s="26" t="n">
        <v>21.6</v>
      </c>
      <c r="C13" s="26" t="n">
        <v>25.8</v>
      </c>
      <c r="D13" s="26" t="n">
        <v>29</v>
      </c>
      <c r="E13" s="26" t="n">
        <v>51.2</v>
      </c>
      <c r="F13" s="26" t="n">
        <v>110.1</v>
      </c>
      <c r="G13" s="44">
        <f>G12*Assumptions!G15</f>
        <v/>
      </c>
      <c r="H13" s="44">
        <f>H12*Assumptions!H15</f>
        <v/>
      </c>
      <c r="I13" s="44">
        <f>I12*Assumptions!I15</f>
        <v/>
      </c>
      <c r="J13" s="44">
        <f>J12*Assumptions!J15</f>
        <v/>
      </c>
      <c r="K13" s="44">
        <f>K12*Assumptions!K15</f>
        <v/>
      </c>
      <c r="L13" s="44">
        <f>L12*Assumptions!L15</f>
        <v/>
      </c>
      <c r="M13" s="44">
        <f>M12*Assumptions!M15</f>
        <v/>
      </c>
      <c r="N13" s="44">
        <f>N12*Assumptions!N15</f>
        <v/>
      </c>
      <c r="O13" s="44">
        <f>O12*Assumptions!O15</f>
        <v/>
      </c>
      <c r="P13" s="44">
        <f>P12*Assumptions!P15</f>
        <v/>
      </c>
    </row>
    <row r="14">
      <c r="A14" s="17" t="inlineStr">
        <is>
          <t xml:space="preserve">    + Capex Additions (×30% allocation)</t>
        </is>
      </c>
      <c r="B14" s="26" t="n">
        <v>84</v>
      </c>
      <c r="C14" s="26" t="n">
        <v>91.5</v>
      </c>
      <c r="D14" s="26" t="n">
        <v>99</v>
      </c>
      <c r="E14" s="26" t="n">
        <v>106.5</v>
      </c>
      <c r="F14" s="26" t="n">
        <v>114</v>
      </c>
      <c r="G14" s="44">
        <f>'Fixed Assets'!G15</f>
        <v/>
      </c>
      <c r="H14" s="44">
        <f>'Fixed Assets'!H15</f>
        <v/>
      </c>
      <c r="I14" s="44">
        <f>'Fixed Assets'!I15</f>
        <v/>
      </c>
      <c r="J14" s="44">
        <f>'Fixed Assets'!J15</f>
        <v/>
      </c>
      <c r="K14" s="44">
        <f>'Fixed Assets'!K15</f>
        <v/>
      </c>
      <c r="L14" s="44">
        <f>'Fixed Assets'!L15</f>
        <v/>
      </c>
      <c r="M14" s="44">
        <f>'Fixed Assets'!M15</f>
        <v/>
      </c>
      <c r="N14" s="44">
        <f>'Fixed Assets'!N15</f>
        <v/>
      </c>
      <c r="O14" s="44">
        <f>'Fixed Assets'!O15</f>
        <v/>
      </c>
      <c r="P14" s="44">
        <f>'Fixed Assets'!P15</f>
        <v/>
      </c>
    </row>
    <row r="15">
      <c r="A15" s="17" t="inlineStr">
        <is>
          <t xml:space="preserve">    − Regulatory Depreciation  (÷ 55 yr AER life)</t>
        </is>
      </c>
      <c r="B15" s="26" t="n">
        <v>26.2</v>
      </c>
      <c r="C15" s="26" t="n">
        <v>27.6</v>
      </c>
      <c r="D15" s="26" t="n">
        <v>29.3</v>
      </c>
      <c r="E15" s="26" t="n">
        <v>31.1</v>
      </c>
      <c r="F15" s="26" t="n">
        <v>33.4</v>
      </c>
      <c r="G15" s="44">
        <f>G12/55</f>
        <v/>
      </c>
      <c r="H15" s="44">
        <f>H12/55</f>
        <v/>
      </c>
      <c r="I15" s="44">
        <f>I12/55</f>
        <v/>
      </c>
      <c r="J15" s="44">
        <f>J12/55</f>
        <v/>
      </c>
      <c r="K15" s="44">
        <f>K12/55</f>
        <v/>
      </c>
      <c r="L15" s="44">
        <f>L12/55</f>
        <v/>
      </c>
      <c r="M15" s="44">
        <f>M12/55</f>
        <v/>
      </c>
      <c r="N15" s="44">
        <f>N12/55</f>
        <v/>
      </c>
      <c r="O15" s="44">
        <f>O12/55</f>
        <v/>
      </c>
      <c r="P15" s="44">
        <f>P12/55</f>
        <v/>
      </c>
    </row>
    <row r="16">
      <c r="A16" s="17" t="inlineStr">
        <is>
          <t xml:space="preserve">    = Closing RAB</t>
        </is>
      </c>
      <c r="B16" s="45" t="n">
        <v>1519.4</v>
      </c>
      <c r="C16" s="45" t="n">
        <v>1609.1</v>
      </c>
      <c r="D16" s="45" t="n">
        <v>1707.8</v>
      </c>
      <c r="E16" s="45" t="n">
        <v>1834.4</v>
      </c>
      <c r="F16" s="45" t="n">
        <v>2025.1</v>
      </c>
      <c r="G16" s="42">
        <f>G12+G13+G14-G15</f>
        <v/>
      </c>
      <c r="H16" s="42">
        <f>H12+H13+H14-H15</f>
        <v/>
      </c>
      <c r="I16" s="42">
        <f>I12+I13+I14-I15</f>
        <v/>
      </c>
      <c r="J16" s="42">
        <f>J12+J13+J14-J15</f>
        <v/>
      </c>
      <c r="K16" s="42">
        <f>K12+K13+K14-K15</f>
        <v/>
      </c>
      <c r="L16" s="42">
        <f>L12+L13+L14-L15</f>
        <v/>
      </c>
      <c r="M16" s="42">
        <f>M12+M13+M14-M15</f>
        <v/>
      </c>
      <c r="N16" s="42">
        <f>N12+N13+N14-N15</f>
        <v/>
      </c>
      <c r="O16" s="42">
        <f>O12+O13+O14-O15</f>
        <v/>
      </c>
      <c r="P16" s="42">
        <f>P12+P13+P14-P15</f>
        <v/>
      </c>
    </row>
    <row r="18" ht="16" customHeight="1">
      <c r="A18" s="15" t="inlineStr">
        <is>
          <t>TRANSFORMERS  |  AER Standard Life: 45 years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>
      <c r="A19" s="17" t="inlineStr">
        <is>
          <t xml:space="preserve">    Opening RAB ($M)</t>
        </is>
      </c>
      <c r="B19" s="26" t="n">
        <v>480</v>
      </c>
      <c r="C19" s="26" t="n">
        <v>504.5</v>
      </c>
      <c r="D19" s="26" t="n">
        <v>532.4</v>
      </c>
      <c r="E19" s="26" t="n">
        <v>563.2</v>
      </c>
      <c r="F19" s="26" t="n">
        <v>603.1</v>
      </c>
      <c r="G19" s="44">
        <f>F23</f>
        <v/>
      </c>
      <c r="H19" s="44">
        <f>G23</f>
        <v/>
      </c>
      <c r="I19" s="44">
        <f>H23</f>
        <v/>
      </c>
      <c r="J19" s="44">
        <f>I23</f>
        <v/>
      </c>
      <c r="K19" s="44">
        <f>J23</f>
        <v/>
      </c>
      <c r="L19" s="44">
        <f>K23</f>
        <v/>
      </c>
      <c r="M19" s="44">
        <f>L23</f>
        <v/>
      </c>
      <c r="N19" s="44">
        <f>M23</f>
        <v/>
      </c>
      <c r="O19" s="44">
        <f>N23</f>
        <v/>
      </c>
      <c r="P19" s="44">
        <f>O23</f>
        <v/>
      </c>
    </row>
    <row r="20">
      <c r="A20" s="17" t="inlineStr">
        <is>
          <t xml:space="preserve">    + CPI Indexation</t>
        </is>
      </c>
      <c r="B20" s="26" t="n">
        <v>7.2</v>
      </c>
      <c r="C20" s="26" t="n">
        <v>8.6</v>
      </c>
      <c r="D20" s="26" t="n">
        <v>9.6</v>
      </c>
      <c r="E20" s="26" t="n">
        <v>16.9</v>
      </c>
      <c r="F20" s="26" t="n">
        <v>36.2</v>
      </c>
      <c r="G20" s="44">
        <f>G19*Assumptions!G15</f>
        <v/>
      </c>
      <c r="H20" s="44">
        <f>H19*Assumptions!H15</f>
        <v/>
      </c>
      <c r="I20" s="44">
        <f>I19*Assumptions!I15</f>
        <v/>
      </c>
      <c r="J20" s="44">
        <f>J19*Assumptions!J15</f>
        <v/>
      </c>
      <c r="K20" s="44">
        <f>K19*Assumptions!K15</f>
        <v/>
      </c>
      <c r="L20" s="44">
        <f>L19*Assumptions!L15</f>
        <v/>
      </c>
      <c r="M20" s="44">
        <f>M19*Assumptions!M15</f>
        <v/>
      </c>
      <c r="N20" s="44">
        <f>N19*Assumptions!N15</f>
        <v/>
      </c>
      <c r="O20" s="44">
        <f>O19*Assumptions!O15</f>
        <v/>
      </c>
      <c r="P20" s="44">
        <f>P19*Assumptions!P15</f>
        <v/>
      </c>
    </row>
    <row r="21">
      <c r="A21" s="17" t="inlineStr">
        <is>
          <t xml:space="preserve">    + Capex Additions (×10% allocation)</t>
        </is>
      </c>
      <c r="B21" s="26" t="n">
        <v>28</v>
      </c>
      <c r="C21" s="26" t="n">
        <v>30.5</v>
      </c>
      <c r="D21" s="26" t="n">
        <v>33</v>
      </c>
      <c r="E21" s="26" t="n">
        <v>35.5</v>
      </c>
      <c r="F21" s="26" t="n">
        <v>38</v>
      </c>
      <c r="G21" s="44">
        <f>'Fixed Assets'!G23</f>
        <v/>
      </c>
      <c r="H21" s="44">
        <f>'Fixed Assets'!H23</f>
        <v/>
      </c>
      <c r="I21" s="44">
        <f>'Fixed Assets'!I23</f>
        <v/>
      </c>
      <c r="J21" s="44">
        <f>'Fixed Assets'!J23</f>
        <v/>
      </c>
      <c r="K21" s="44">
        <f>'Fixed Assets'!K23</f>
        <v/>
      </c>
      <c r="L21" s="44">
        <f>'Fixed Assets'!L23</f>
        <v/>
      </c>
      <c r="M21" s="44">
        <f>'Fixed Assets'!M23</f>
        <v/>
      </c>
      <c r="N21" s="44">
        <f>'Fixed Assets'!N23</f>
        <v/>
      </c>
      <c r="O21" s="44">
        <f>'Fixed Assets'!O23</f>
        <v/>
      </c>
      <c r="P21" s="44">
        <f>'Fixed Assets'!P23</f>
        <v/>
      </c>
    </row>
    <row r="22">
      <c r="A22" s="17" t="inlineStr">
        <is>
          <t xml:space="preserve">    − Regulatory Depreciation  (÷ 45 yr AER life)</t>
        </is>
      </c>
      <c r="B22" s="26" t="n">
        <v>10.7</v>
      </c>
      <c r="C22" s="26" t="n">
        <v>11.2</v>
      </c>
      <c r="D22" s="26" t="n">
        <v>11.8</v>
      </c>
      <c r="E22" s="26" t="n">
        <v>12.5</v>
      </c>
      <c r="F22" s="26" t="n">
        <v>13.4</v>
      </c>
      <c r="G22" s="44">
        <f>G19/45</f>
        <v/>
      </c>
      <c r="H22" s="44">
        <f>H19/45</f>
        <v/>
      </c>
      <c r="I22" s="44">
        <f>I19/45</f>
        <v/>
      </c>
      <c r="J22" s="44">
        <f>J19/45</f>
        <v/>
      </c>
      <c r="K22" s="44">
        <f>K19/45</f>
        <v/>
      </c>
      <c r="L22" s="44">
        <f>L19/45</f>
        <v/>
      </c>
      <c r="M22" s="44">
        <f>M19/45</f>
        <v/>
      </c>
      <c r="N22" s="44">
        <f>N19/45</f>
        <v/>
      </c>
      <c r="O22" s="44">
        <f>O19/45</f>
        <v/>
      </c>
      <c r="P22" s="44">
        <f>P19/45</f>
        <v/>
      </c>
    </row>
    <row r="23">
      <c r="A23" s="17" t="inlineStr">
        <is>
          <t xml:space="preserve">    = Closing RAB</t>
        </is>
      </c>
      <c r="B23" s="45" t="n">
        <v>504.5</v>
      </c>
      <c r="C23" s="45" t="n">
        <v>532.4</v>
      </c>
      <c r="D23" s="45" t="n">
        <v>563.2</v>
      </c>
      <c r="E23" s="45" t="n">
        <v>603.1</v>
      </c>
      <c r="F23" s="45" t="n">
        <v>663.9</v>
      </c>
      <c r="G23" s="42">
        <f>G19+G20+G21-G22</f>
        <v/>
      </c>
      <c r="H23" s="42">
        <f>H19+H20+H21-H22</f>
        <v/>
      </c>
      <c r="I23" s="42">
        <f>I19+I20+I21-I22</f>
        <v/>
      </c>
      <c r="J23" s="42">
        <f>J19+J20+J21-J22</f>
        <v/>
      </c>
      <c r="K23" s="42">
        <f>K19+K20+K21-K22</f>
        <v/>
      </c>
      <c r="L23" s="42">
        <f>L19+L20+L21-L22</f>
        <v/>
      </c>
      <c r="M23" s="42">
        <f>M19+M20+M21-M22</f>
        <v/>
      </c>
      <c r="N23" s="42">
        <f>N19+N20+N21-N22</f>
        <v/>
      </c>
      <c r="O23" s="42">
        <f>O19+O20+O21-O22</f>
        <v/>
      </c>
      <c r="P23" s="42">
        <f>P19+P20+P21-P22</f>
        <v/>
      </c>
    </row>
    <row r="25" ht="16" customHeight="1">
      <c r="A25" s="15" t="inlineStr">
        <is>
          <t>SCADA &amp; CONTROL  |  AER Standard Life: 25 years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  Opening RAB ($M)</t>
        </is>
      </c>
      <c r="B26" s="26" t="n">
        <v>336</v>
      </c>
      <c r="C26" s="26" t="n">
        <v>347.2</v>
      </c>
      <c r="D26" s="26" t="n">
        <v>360.6</v>
      </c>
      <c r="E26" s="26" t="n">
        <v>375.8</v>
      </c>
      <c r="F26" s="26" t="n">
        <v>397</v>
      </c>
      <c r="G26" s="44">
        <f>F30</f>
        <v/>
      </c>
      <c r="H26" s="44">
        <f>G30</f>
        <v/>
      </c>
      <c r="I26" s="44">
        <f>H30</f>
        <v/>
      </c>
      <c r="J26" s="44">
        <f>I30</f>
        <v/>
      </c>
      <c r="K26" s="44">
        <f>J30</f>
        <v/>
      </c>
      <c r="L26" s="44">
        <f>K30</f>
        <v/>
      </c>
      <c r="M26" s="44">
        <f>L30</f>
        <v/>
      </c>
      <c r="N26" s="44">
        <f>M30</f>
        <v/>
      </c>
      <c r="O26" s="44">
        <f>N30</f>
        <v/>
      </c>
      <c r="P26" s="44">
        <f>O30</f>
        <v/>
      </c>
    </row>
    <row r="27">
      <c r="A27" s="17" t="inlineStr">
        <is>
          <t xml:space="preserve">    + CPI Indexation</t>
        </is>
      </c>
      <c r="B27" s="26" t="n">
        <v>5</v>
      </c>
      <c r="C27" s="26" t="n">
        <v>5.9</v>
      </c>
      <c r="D27" s="26" t="n">
        <v>6.5</v>
      </c>
      <c r="E27" s="26" t="n">
        <v>11.3</v>
      </c>
      <c r="F27" s="26" t="n">
        <v>23.8</v>
      </c>
      <c r="G27" s="44">
        <f>G26*Assumptions!G15</f>
        <v/>
      </c>
      <c r="H27" s="44">
        <f>H26*Assumptions!H15</f>
        <v/>
      </c>
      <c r="I27" s="44">
        <f>I26*Assumptions!I15</f>
        <v/>
      </c>
      <c r="J27" s="44">
        <f>J26*Assumptions!J15</f>
        <v/>
      </c>
      <c r="K27" s="44">
        <f>K26*Assumptions!K15</f>
        <v/>
      </c>
      <c r="L27" s="44">
        <f>L26*Assumptions!L15</f>
        <v/>
      </c>
      <c r="M27" s="44">
        <f>M26*Assumptions!M15</f>
        <v/>
      </c>
      <c r="N27" s="44">
        <f>N26*Assumptions!N15</f>
        <v/>
      </c>
      <c r="O27" s="44">
        <f>O26*Assumptions!O15</f>
        <v/>
      </c>
      <c r="P27" s="44">
        <f>P26*Assumptions!P15</f>
        <v/>
      </c>
    </row>
    <row r="28">
      <c r="A28" s="17" t="inlineStr">
        <is>
          <t xml:space="preserve">    + Capex Additions (×7% allocation)</t>
        </is>
      </c>
      <c r="B28" s="26" t="n">
        <v>19.6</v>
      </c>
      <c r="C28" s="26" t="n">
        <v>21.4</v>
      </c>
      <c r="D28" s="26" t="n">
        <v>23.1</v>
      </c>
      <c r="E28" s="26" t="n">
        <v>24.9</v>
      </c>
      <c r="F28" s="26" t="n">
        <v>26.6</v>
      </c>
      <c r="G28" s="44">
        <f>'Fixed Assets'!G31</f>
        <v/>
      </c>
      <c r="H28" s="44">
        <f>'Fixed Assets'!H31</f>
        <v/>
      </c>
      <c r="I28" s="44">
        <f>'Fixed Assets'!I31</f>
        <v/>
      </c>
      <c r="J28" s="44">
        <f>'Fixed Assets'!J31</f>
        <v/>
      </c>
      <c r="K28" s="44">
        <f>'Fixed Assets'!K31</f>
        <v/>
      </c>
      <c r="L28" s="44">
        <f>'Fixed Assets'!L31</f>
        <v/>
      </c>
      <c r="M28" s="44">
        <f>'Fixed Assets'!M31</f>
        <v/>
      </c>
      <c r="N28" s="44">
        <f>'Fixed Assets'!N31</f>
        <v/>
      </c>
      <c r="O28" s="44">
        <f>'Fixed Assets'!O31</f>
        <v/>
      </c>
      <c r="P28" s="44">
        <f>'Fixed Assets'!P31</f>
        <v/>
      </c>
    </row>
    <row r="29">
      <c r="A29" s="17" t="inlineStr">
        <is>
          <t xml:space="preserve">    − Regulatory Depreciation  (÷ 25 yr AER life)</t>
        </is>
      </c>
      <c r="B29" s="26" t="n">
        <v>13.4</v>
      </c>
      <c r="C29" s="26" t="n">
        <v>13.9</v>
      </c>
      <c r="D29" s="26" t="n">
        <v>14.4</v>
      </c>
      <c r="E29" s="26" t="n">
        <v>15</v>
      </c>
      <c r="F29" s="26" t="n">
        <v>15.9</v>
      </c>
      <c r="G29" s="44">
        <f>G26/25</f>
        <v/>
      </c>
      <c r="H29" s="44">
        <f>H26/25</f>
        <v/>
      </c>
      <c r="I29" s="44">
        <f>I26/25</f>
        <v/>
      </c>
      <c r="J29" s="44">
        <f>J26/25</f>
        <v/>
      </c>
      <c r="K29" s="44">
        <f>K26/25</f>
        <v/>
      </c>
      <c r="L29" s="44">
        <f>L26/25</f>
        <v/>
      </c>
      <c r="M29" s="44">
        <f>M26/25</f>
        <v/>
      </c>
      <c r="N29" s="44">
        <f>N26/25</f>
        <v/>
      </c>
      <c r="O29" s="44">
        <f>O26/25</f>
        <v/>
      </c>
      <c r="P29" s="44">
        <f>P26/25</f>
        <v/>
      </c>
    </row>
    <row r="30">
      <c r="A30" s="17" t="inlineStr">
        <is>
          <t xml:space="preserve">    = Closing RAB</t>
        </is>
      </c>
      <c r="B30" s="45" t="n">
        <v>347.2</v>
      </c>
      <c r="C30" s="45" t="n">
        <v>360.6</v>
      </c>
      <c r="D30" s="45" t="n">
        <v>375.8</v>
      </c>
      <c r="E30" s="45" t="n">
        <v>397</v>
      </c>
      <c r="F30" s="45" t="n">
        <v>431.5</v>
      </c>
      <c r="G30" s="42">
        <f>G26+G27+G28-G29</f>
        <v/>
      </c>
      <c r="H30" s="42">
        <f>H26+H27+H28-H29</f>
        <v/>
      </c>
      <c r="I30" s="42">
        <f>I26+I27+I28-I29</f>
        <v/>
      </c>
      <c r="J30" s="42">
        <f>J26+J27+J28-J29</f>
        <v/>
      </c>
      <c r="K30" s="42">
        <f>K26+K27+K28-K29</f>
        <v/>
      </c>
      <c r="L30" s="42">
        <f>L26+L27+L28-L29</f>
        <v/>
      </c>
      <c r="M30" s="42">
        <f>M26+M27+M28-M29</f>
        <v/>
      </c>
      <c r="N30" s="42">
        <f>N26+N27+N28-N29</f>
        <v/>
      </c>
      <c r="O30" s="42">
        <f>O26+O27+O28-O29</f>
        <v/>
      </c>
      <c r="P30" s="42">
        <f>P26+P27+P28-P29</f>
        <v/>
      </c>
    </row>
    <row r="32" ht="16" customHeight="1">
      <c r="A32" s="15" t="inlineStr">
        <is>
          <t>OTHER EQUIPMENT  |  AER Standard Life: 30 years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>
      <c r="A33" s="17" t="inlineStr">
        <is>
          <t xml:space="preserve">    Opening RAB ($M)</t>
        </is>
      </c>
      <c r="B33" s="26" t="n">
        <v>144</v>
      </c>
      <c r="C33" s="26" t="n">
        <v>149.8</v>
      </c>
      <c r="D33" s="26" t="n">
        <v>156.5</v>
      </c>
      <c r="E33" s="26" t="n">
        <v>164</v>
      </c>
      <c r="F33" s="26" t="n">
        <v>174.1</v>
      </c>
      <c r="G33" s="44">
        <f>F37</f>
        <v/>
      </c>
      <c r="H33" s="44">
        <f>G37</f>
        <v/>
      </c>
      <c r="I33" s="44">
        <f>H37</f>
        <v/>
      </c>
      <c r="J33" s="44">
        <f>I37</f>
        <v/>
      </c>
      <c r="K33" s="44">
        <f>J37</f>
        <v/>
      </c>
      <c r="L33" s="44">
        <f>K37</f>
        <v/>
      </c>
      <c r="M33" s="44">
        <f>L37</f>
        <v/>
      </c>
      <c r="N33" s="44">
        <f>M37</f>
        <v/>
      </c>
      <c r="O33" s="44">
        <f>N37</f>
        <v/>
      </c>
      <c r="P33" s="44">
        <f>O37</f>
        <v/>
      </c>
    </row>
    <row r="34">
      <c r="A34" s="17" t="inlineStr">
        <is>
          <t xml:space="preserve">    + CPI Indexation</t>
        </is>
      </c>
      <c r="B34" s="26" t="n">
        <v>2.2</v>
      </c>
      <c r="C34" s="26" t="n">
        <v>2.5</v>
      </c>
      <c r="D34" s="26" t="n">
        <v>2.8</v>
      </c>
      <c r="E34" s="26" t="n">
        <v>4.9</v>
      </c>
      <c r="F34" s="26" t="n">
        <v>10.4</v>
      </c>
      <c r="G34" s="44">
        <f>G33*Assumptions!G15</f>
        <v/>
      </c>
      <c r="H34" s="44">
        <f>H33*Assumptions!H15</f>
        <v/>
      </c>
      <c r="I34" s="44">
        <f>I33*Assumptions!I15</f>
        <v/>
      </c>
      <c r="J34" s="44">
        <f>J33*Assumptions!J15</f>
        <v/>
      </c>
      <c r="K34" s="44">
        <f>K33*Assumptions!K15</f>
        <v/>
      </c>
      <c r="L34" s="44">
        <f>L33*Assumptions!L15</f>
        <v/>
      </c>
      <c r="M34" s="44">
        <f>M33*Assumptions!M15</f>
        <v/>
      </c>
      <c r="N34" s="44">
        <f>N33*Assumptions!N15</f>
        <v/>
      </c>
      <c r="O34" s="44">
        <f>O33*Assumptions!O15</f>
        <v/>
      </c>
      <c r="P34" s="44">
        <f>P33*Assumptions!P15</f>
        <v/>
      </c>
    </row>
    <row r="35">
      <c r="A35" s="17" t="inlineStr">
        <is>
          <t xml:space="preserve">    + Capex Additions (×3% allocation)</t>
        </is>
      </c>
      <c r="B35" s="26" t="n">
        <v>8.4</v>
      </c>
      <c r="C35" s="26" t="n">
        <v>9.199999999999999</v>
      </c>
      <c r="D35" s="26" t="n">
        <v>9.9</v>
      </c>
      <c r="E35" s="26" t="n">
        <v>10.7</v>
      </c>
      <c r="F35" s="26" t="n">
        <v>11.4</v>
      </c>
      <c r="G35" s="44">
        <f>'Fixed Assets'!G39</f>
        <v/>
      </c>
      <c r="H35" s="44">
        <f>'Fixed Assets'!H39</f>
        <v/>
      </c>
      <c r="I35" s="44">
        <f>'Fixed Assets'!I39</f>
        <v/>
      </c>
      <c r="J35" s="44">
        <f>'Fixed Assets'!J39</f>
        <v/>
      </c>
      <c r="K35" s="44">
        <f>'Fixed Assets'!K39</f>
        <v/>
      </c>
      <c r="L35" s="44">
        <f>'Fixed Assets'!L39</f>
        <v/>
      </c>
      <c r="M35" s="44">
        <f>'Fixed Assets'!M39</f>
        <v/>
      </c>
      <c r="N35" s="44">
        <f>'Fixed Assets'!N39</f>
        <v/>
      </c>
      <c r="O35" s="44">
        <f>'Fixed Assets'!O39</f>
        <v/>
      </c>
      <c r="P35" s="44">
        <f>'Fixed Assets'!P39</f>
        <v/>
      </c>
    </row>
    <row r="36">
      <c r="A36" s="17" t="inlineStr">
        <is>
          <t xml:space="preserve">    − Regulatory Depreciation  (÷ 30 yr AER life)</t>
        </is>
      </c>
      <c r="B36" s="26" t="n">
        <v>4.8</v>
      </c>
      <c r="C36" s="26" t="n">
        <v>5</v>
      </c>
      <c r="D36" s="26" t="n">
        <v>5.2</v>
      </c>
      <c r="E36" s="26" t="n">
        <v>5.5</v>
      </c>
      <c r="F36" s="26" t="n">
        <v>5.8</v>
      </c>
      <c r="G36" s="44">
        <f>G33/30</f>
        <v/>
      </c>
      <c r="H36" s="44">
        <f>H33/30</f>
        <v/>
      </c>
      <c r="I36" s="44">
        <f>I33/30</f>
        <v/>
      </c>
      <c r="J36" s="44">
        <f>J33/30</f>
        <v/>
      </c>
      <c r="K36" s="44">
        <f>K33/30</f>
        <v/>
      </c>
      <c r="L36" s="44">
        <f>L33/30</f>
        <v/>
      </c>
      <c r="M36" s="44">
        <f>M33/30</f>
        <v/>
      </c>
      <c r="N36" s="44">
        <f>N33/30</f>
        <v/>
      </c>
      <c r="O36" s="44">
        <f>O33/30</f>
        <v/>
      </c>
      <c r="P36" s="44">
        <f>P33/30</f>
        <v/>
      </c>
    </row>
    <row r="37">
      <c r="A37" s="17" t="inlineStr">
        <is>
          <t xml:space="preserve">    = Closing RAB</t>
        </is>
      </c>
      <c r="B37" s="45" t="n">
        <v>149.8</v>
      </c>
      <c r="C37" s="45" t="n">
        <v>156.5</v>
      </c>
      <c r="D37" s="45" t="n">
        <v>164</v>
      </c>
      <c r="E37" s="45" t="n">
        <v>174.1</v>
      </c>
      <c r="F37" s="45" t="n">
        <v>190.1</v>
      </c>
      <c r="G37" s="42">
        <f>G33+G34+G35-G36</f>
        <v/>
      </c>
      <c r="H37" s="42">
        <f>H33+H34+H35-H36</f>
        <v/>
      </c>
      <c r="I37" s="42">
        <f>I33+I34+I35-I36</f>
        <v/>
      </c>
      <c r="J37" s="42">
        <f>J33+J34+J35-J36</f>
        <v/>
      </c>
      <c r="K37" s="42">
        <f>K33+K34+K35-K36</f>
        <v/>
      </c>
      <c r="L37" s="42">
        <f>L33+L34+L35-L36</f>
        <v/>
      </c>
      <c r="M37" s="42">
        <f>M33+M34+M35-M36</f>
        <v/>
      </c>
      <c r="N37" s="42">
        <f>N33+N34+N35-N36</f>
        <v/>
      </c>
      <c r="O37" s="42">
        <f>O33+O34+O35-O36</f>
        <v/>
      </c>
      <c r="P37" s="42">
        <f>P33+P34+P35-P36</f>
        <v/>
      </c>
    </row>
    <row r="39" ht="16" customHeight="1">
      <c r="A39" s="15" t="inlineStr">
        <is>
          <t>TOTAL REGULATORY ASSET BASE ($M)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>
      <c r="A40" s="17" t="inlineStr">
        <is>
          <t xml:space="preserve">  Total Opening RAB</t>
        </is>
      </c>
      <c r="B40" s="26">
        <f>B5+B12+B19+B26+B33</f>
        <v/>
      </c>
      <c r="C40" s="26">
        <f>C5+C12+C19+C26+C33</f>
        <v/>
      </c>
      <c r="D40" s="26">
        <f>D5+D12+D19+D26+D33</f>
        <v/>
      </c>
      <c r="E40" s="26">
        <f>E5+E12+E19+E26+E33</f>
        <v/>
      </c>
      <c r="F40" s="26">
        <f>F5+F12+F19+F26+F33</f>
        <v/>
      </c>
      <c r="G40" s="44">
        <f>G5+G12+G19+G26+G33</f>
        <v/>
      </c>
      <c r="H40" s="44">
        <f>H5+H12+H19+H26+H33</f>
        <v/>
      </c>
      <c r="I40" s="44">
        <f>I5+I12+I19+I26+I33</f>
        <v/>
      </c>
      <c r="J40" s="44">
        <f>J5+J12+J19+J26+J33</f>
        <v/>
      </c>
      <c r="K40" s="44">
        <f>K5+K12+K19+K26+K33</f>
        <v/>
      </c>
      <c r="L40" s="44">
        <f>L5+L12+L19+L26+L33</f>
        <v/>
      </c>
      <c r="M40" s="44">
        <f>M5+M12+M19+M26+M33</f>
        <v/>
      </c>
      <c r="N40" s="44">
        <f>N5+N12+N19+N26+N33</f>
        <v/>
      </c>
      <c r="O40" s="44">
        <f>O5+O12+O19+O26+O33</f>
        <v/>
      </c>
      <c r="P40" s="44">
        <f>P5+P12+P19+P26+P33</f>
        <v/>
      </c>
    </row>
    <row r="41">
      <c r="A41" s="17" t="inlineStr">
        <is>
          <t xml:space="preserve">  Total CPI Indexation</t>
        </is>
      </c>
      <c r="B41" s="26">
        <f>B6+B13+B20+B27+B34</f>
        <v/>
      </c>
      <c r="C41" s="26">
        <f>C6+C13+C20+C27+C34</f>
        <v/>
      </c>
      <c r="D41" s="26">
        <f>D6+D13+D20+D27+D34</f>
        <v/>
      </c>
      <c r="E41" s="26">
        <f>E6+E13+E20+E27+E34</f>
        <v/>
      </c>
      <c r="F41" s="26">
        <f>F6+F13+F20+F27+F34</f>
        <v/>
      </c>
      <c r="G41" s="44">
        <f>G6+G13+G20+G27+G34</f>
        <v/>
      </c>
      <c r="H41" s="44">
        <f>H6+H13+H20+H27+H34</f>
        <v/>
      </c>
      <c r="I41" s="44">
        <f>I6+I13+I20+I27+I34</f>
        <v/>
      </c>
      <c r="J41" s="44">
        <f>J6+J13+J20+J27+J34</f>
        <v/>
      </c>
      <c r="K41" s="44">
        <f>K6+K13+K20+K27+K34</f>
        <v/>
      </c>
      <c r="L41" s="44">
        <f>L6+L13+L20+L27+L34</f>
        <v/>
      </c>
      <c r="M41" s="44">
        <f>M6+M13+M20+M27+M34</f>
        <v/>
      </c>
      <c r="N41" s="44">
        <f>N6+N13+N20+N27+N34</f>
        <v/>
      </c>
      <c r="O41" s="44">
        <f>O6+O13+O20+O27+O34</f>
        <v/>
      </c>
      <c r="P41" s="44">
        <f>P6+P13+P20+P27+P34</f>
        <v/>
      </c>
    </row>
    <row r="42">
      <c r="A42" s="17" t="inlineStr">
        <is>
          <t xml:space="preserve">  Total Capex Additions</t>
        </is>
      </c>
      <c r="B42" s="26">
        <f>B7+B14+B21+B28+B35</f>
        <v/>
      </c>
      <c r="C42" s="26">
        <f>C7+C14+C21+C28+C35</f>
        <v/>
      </c>
      <c r="D42" s="26">
        <f>D7+D14+D21+D28+D35</f>
        <v/>
      </c>
      <c r="E42" s="26">
        <f>E7+E14+E21+E28+E35</f>
        <v/>
      </c>
      <c r="F42" s="26">
        <f>F7+F14+F21+F28+F35</f>
        <v/>
      </c>
      <c r="G42" s="44">
        <f>G7+G14+G21+G28+G35</f>
        <v/>
      </c>
      <c r="H42" s="44">
        <f>H7+H14+H21+H28+H35</f>
        <v/>
      </c>
      <c r="I42" s="44">
        <f>I7+I14+I21+I28+I35</f>
        <v/>
      </c>
      <c r="J42" s="44">
        <f>J7+J14+J21+J28+J35</f>
        <v/>
      </c>
      <c r="K42" s="44">
        <f>K7+K14+K21+K28+K35</f>
        <v/>
      </c>
      <c r="L42" s="44">
        <f>L7+L14+L21+L28+L35</f>
        <v/>
      </c>
      <c r="M42" s="44">
        <f>M7+M14+M21+M28+M35</f>
        <v/>
      </c>
      <c r="N42" s="44">
        <f>N7+N14+N21+N28+N35</f>
        <v/>
      </c>
      <c r="O42" s="44">
        <f>O7+O14+O21+O28+O35</f>
        <v/>
      </c>
      <c r="P42" s="44">
        <f>P7+P14+P21+P28+P35</f>
        <v/>
      </c>
    </row>
    <row r="43">
      <c r="A43" s="17" t="inlineStr">
        <is>
          <t xml:space="preserve">  Total Regulatory Depreciation  →  Return of RAB (PTRM)</t>
        </is>
      </c>
      <c r="B43" s="26">
        <f>B8+B15+B22+B29+B36</f>
        <v/>
      </c>
      <c r="C43" s="26">
        <f>C8+C15+C22+C29+C36</f>
        <v/>
      </c>
      <c r="D43" s="26">
        <f>D8+D15+D22+D29+D36</f>
        <v/>
      </c>
      <c r="E43" s="26">
        <f>E8+E15+E22+E29+E36</f>
        <v/>
      </c>
      <c r="F43" s="26">
        <f>F8+F15+F22+F29+F36</f>
        <v/>
      </c>
      <c r="G43" s="44">
        <f>G8+G15+G22+G29+G36</f>
        <v/>
      </c>
      <c r="H43" s="44">
        <f>H8+H15+H22+H29+H36</f>
        <v/>
      </c>
      <c r="I43" s="44">
        <f>I8+I15+I22+I29+I36</f>
        <v/>
      </c>
      <c r="J43" s="44">
        <f>J8+J15+J22+J29+J36</f>
        <v/>
      </c>
      <c r="K43" s="44">
        <f>K8+K15+K22+K29+K36</f>
        <v/>
      </c>
      <c r="L43" s="44">
        <f>L8+L15+L22+L29+L36</f>
        <v/>
      </c>
      <c r="M43" s="44">
        <f>M8+M15+M22+M29+M36</f>
        <v/>
      </c>
      <c r="N43" s="44">
        <f>N8+N15+N22+N29+N36</f>
        <v/>
      </c>
      <c r="O43" s="44">
        <f>O8+O15+O22+O29+O36</f>
        <v/>
      </c>
      <c r="P43" s="44">
        <f>P8+P15+P22+P29+P36</f>
        <v/>
      </c>
    </row>
    <row r="44">
      <c r="A44" s="17" t="inlineStr">
        <is>
          <t xml:space="preserve">  Total Closing RAB</t>
        </is>
      </c>
      <c r="B44" s="42">
        <f>B9+B16+B23+B30+B37</f>
        <v/>
      </c>
      <c r="C44" s="42">
        <f>C9+C16+C23+C30+C37</f>
        <v/>
      </c>
      <c r="D44" s="42">
        <f>D9+D16+D23+D30+D37</f>
        <v/>
      </c>
      <c r="E44" s="42">
        <f>E9+E16+E23+E30+E37</f>
        <v/>
      </c>
      <c r="F44" s="42">
        <f>F9+F16+F23+F30+F37</f>
        <v/>
      </c>
      <c r="G44" s="42">
        <f>G9+G16+G23+G30+G37</f>
        <v/>
      </c>
      <c r="H44" s="42">
        <f>H9+H16+H23+H30+H37</f>
        <v/>
      </c>
      <c r="I44" s="42">
        <f>I9+I16+I23+I30+I37</f>
        <v/>
      </c>
      <c r="J44" s="42">
        <f>J9+J16+J23+J30+J37</f>
        <v/>
      </c>
      <c r="K44" s="42">
        <f>K9+K16+K23+K30+K37</f>
        <v/>
      </c>
      <c r="L44" s="42">
        <f>L9+L16+L23+L30+L37</f>
        <v/>
      </c>
      <c r="M44" s="42">
        <f>M9+M16+M23+M30+M37</f>
        <v/>
      </c>
      <c r="N44" s="42">
        <f>N9+N16+N23+N30+N37</f>
        <v/>
      </c>
      <c r="O44" s="42">
        <f>O9+O16+O23+O30+O37</f>
        <v/>
      </c>
      <c r="P44" s="42">
        <f>P9+P16+P23+P30+P37</f>
        <v/>
      </c>
    </row>
    <row r="46">
      <c r="A46" s="17" t="inlineStr">
        <is>
          <t xml:space="preserve">  Average RAB  [(Opening + Closing) ÷ 2]  →  Return on RAB base (PTRM)</t>
        </is>
      </c>
      <c r="B46" s="26">
        <f>(B40+B44)/2</f>
        <v/>
      </c>
      <c r="C46" s="26">
        <f>(C40+C44)/2</f>
        <v/>
      </c>
      <c r="D46" s="26">
        <f>(D40+D44)/2</f>
        <v/>
      </c>
      <c r="E46" s="26">
        <f>(E40+E44)/2</f>
        <v/>
      </c>
      <c r="F46" s="26">
        <f>(F40+F44)/2</f>
        <v/>
      </c>
      <c r="G46" s="44">
        <f>(G40+G44)/2</f>
        <v/>
      </c>
      <c r="H46" s="44">
        <f>(H40+H44)/2</f>
        <v/>
      </c>
      <c r="I46" s="44">
        <f>(I40+I44)/2</f>
        <v/>
      </c>
      <c r="J46" s="44">
        <f>(J40+J44)/2</f>
        <v/>
      </c>
      <c r="K46" s="44">
        <f>(K40+K44)/2</f>
        <v/>
      </c>
      <c r="L46" s="44">
        <f>(L40+L44)/2</f>
        <v/>
      </c>
      <c r="M46" s="44">
        <f>(M40+M44)/2</f>
        <v/>
      </c>
      <c r="N46" s="44">
        <f>(N40+N44)/2</f>
        <v/>
      </c>
      <c r="O46" s="44">
        <f>(O40+O44)/2</f>
        <v/>
      </c>
      <c r="P46" s="44">
        <f>(P40+P44)/2</f>
        <v/>
      </c>
    </row>
    <row r="48" ht="16" customHeight="1">
      <c r="A48" s="15" t="inlineStr">
        <is>
          <t>Accumulated Regulatory Depreciation ($M)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>
      <c r="A49" s="17" t="inlineStr">
        <is>
          <t xml:space="preserve">  Opening Accumulated Reg. Dep.</t>
        </is>
      </c>
      <c r="B49" s="26">
        <f>Assumptions!$B$36</f>
        <v/>
      </c>
      <c r="C49" s="26">
        <f>B51</f>
        <v/>
      </c>
      <c r="D49" s="26">
        <f>C51</f>
        <v/>
      </c>
      <c r="E49" s="26">
        <f>D51</f>
        <v/>
      </c>
      <c r="F49" s="26">
        <f>E51</f>
        <v/>
      </c>
      <c r="G49" s="44">
        <f>F51</f>
        <v/>
      </c>
      <c r="H49" s="44">
        <f>G51</f>
        <v/>
      </c>
      <c r="I49" s="44">
        <f>H51</f>
        <v/>
      </c>
      <c r="J49" s="44">
        <f>I51</f>
        <v/>
      </c>
      <c r="K49" s="44">
        <f>J51</f>
        <v/>
      </c>
      <c r="L49" s="44">
        <f>K51</f>
        <v/>
      </c>
      <c r="M49" s="44">
        <f>L51</f>
        <v/>
      </c>
      <c r="N49" s="44">
        <f>M51</f>
        <v/>
      </c>
      <c r="O49" s="44">
        <f>N51</f>
        <v/>
      </c>
      <c r="P49" s="44">
        <f>O51</f>
        <v/>
      </c>
    </row>
    <row r="50">
      <c r="A50" s="17" t="inlineStr">
        <is>
          <t xml:space="preserve">  Current Year Reg. Dep.</t>
        </is>
      </c>
      <c r="B50" s="26">
        <f>B43</f>
        <v/>
      </c>
      <c r="C50" s="26">
        <f>C43</f>
        <v/>
      </c>
      <c r="D50" s="26">
        <f>D43</f>
        <v/>
      </c>
      <c r="E50" s="26">
        <f>E43</f>
        <v/>
      </c>
      <c r="F50" s="26">
        <f>F43</f>
        <v/>
      </c>
      <c r="G50" s="44">
        <f>G43</f>
        <v/>
      </c>
      <c r="H50" s="44">
        <f>H43</f>
        <v/>
      </c>
      <c r="I50" s="44">
        <f>I43</f>
        <v/>
      </c>
      <c r="J50" s="44">
        <f>J43</f>
        <v/>
      </c>
      <c r="K50" s="44">
        <f>K43</f>
        <v/>
      </c>
      <c r="L50" s="44">
        <f>L43</f>
        <v/>
      </c>
      <c r="M50" s="44">
        <f>M43</f>
        <v/>
      </c>
      <c r="N50" s="44">
        <f>N43</f>
        <v/>
      </c>
      <c r="O50" s="44">
        <f>O43</f>
        <v/>
      </c>
      <c r="P50" s="44">
        <f>P43</f>
        <v/>
      </c>
    </row>
    <row r="51">
      <c r="A51" s="17" t="inlineStr">
        <is>
          <t xml:space="preserve">  Closing Accumulated Reg. Dep.</t>
        </is>
      </c>
      <c r="B51" s="42">
        <f>B49+B50</f>
        <v/>
      </c>
      <c r="C51" s="42">
        <f>C49+C50</f>
        <v/>
      </c>
      <c r="D51" s="42">
        <f>D49+D50</f>
        <v/>
      </c>
      <c r="E51" s="42">
        <f>E49+E50</f>
        <v/>
      </c>
      <c r="F51" s="42">
        <f>F49+F50</f>
        <v/>
      </c>
      <c r="G51" s="42">
        <f>G49+G50</f>
        <v/>
      </c>
      <c r="H51" s="42">
        <f>H49+H50</f>
        <v/>
      </c>
      <c r="I51" s="42">
        <f>I49+I50</f>
        <v/>
      </c>
      <c r="J51" s="42">
        <f>J49+J50</f>
        <v/>
      </c>
      <c r="K51" s="42">
        <f>K49+K50</f>
        <v/>
      </c>
      <c r="L51" s="42">
        <f>L49+L50</f>
        <v/>
      </c>
      <c r="M51" s="42">
        <f>M49+M50</f>
        <v/>
      </c>
      <c r="N51" s="42">
        <f>N49+N50</f>
        <v/>
      </c>
      <c r="O51" s="42">
        <f>O49+O50</f>
        <v/>
      </c>
      <c r="P51" s="42">
        <f>P49+P50</f>
        <v/>
      </c>
    </row>
    <row r="53" ht="16" customHeight="1">
      <c r="A53" s="15" t="inlineStr">
        <is>
          <t>Regulatory Period Summaries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>
      <c r="A54" s="17" t="inlineStr">
        <is>
          <t xml:space="preserve">  RCP1 (FY2024–28)  Total Capex ($M)</t>
        </is>
      </c>
      <c r="B54" s="43">
        <f>G42+H42+I42+J42+K42</f>
        <v/>
      </c>
    </row>
    <row r="55">
      <c r="A55" s="17" t="inlineStr">
        <is>
          <t xml:space="preserve">  RCP1 (FY2024–28)  Total Reg. Depreciation</t>
        </is>
      </c>
      <c r="B55" s="43">
        <f>G43+H43+I43+J43+K43</f>
        <v/>
      </c>
    </row>
    <row r="56">
      <c r="A56" s="17" t="inlineStr">
        <is>
          <t xml:space="preserve">  RCP1 (FY2024–28)  Average Closing RAB</t>
        </is>
      </c>
      <c r="B56" s="43">
        <f>G44+H44+I44+J44+K44</f>
        <v/>
      </c>
    </row>
    <row r="58">
      <c r="A58" s="17" t="inlineStr">
        <is>
          <t xml:space="preserve">  RCP2 (FY2029–33)  Total Capex ($M)</t>
        </is>
      </c>
      <c r="B58" s="43">
        <f>L42+M42+N42+O42+P42</f>
        <v/>
      </c>
    </row>
    <row r="59">
      <c r="A59" s="17" t="inlineStr">
        <is>
          <t xml:space="preserve">  RCP2 (FY2029–33)  Total Reg. Depreciation</t>
        </is>
      </c>
      <c r="B59" s="43">
        <f>L43+M43+N43+O43+P43</f>
        <v/>
      </c>
    </row>
    <row r="60">
      <c r="A60" s="17" t="inlineStr">
        <is>
          <t xml:space="preserve">  RCP2 (FY2029–33)  Average Closing RAB</t>
        </is>
      </c>
      <c r="B60" s="43">
        <f>L44+M44+N44+O44+P44</f>
        <v/>
      </c>
    </row>
  </sheetData>
  <mergeCells count="1">
    <mergeCell ref="A1:P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Q1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3" t="inlineStr">
        <is>
          <t>POST TAX REVENUE MODEL (PTRM) — Maximum Allowed Revenue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MAR Build-Up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Return on RAB  (Avg RAB × WACC)</t>
        </is>
      </c>
      <c r="B5" s="26" t="n">
        <v>319.5</v>
      </c>
      <c r="C5" s="26" t="n">
        <v>335.7</v>
      </c>
      <c r="D5" s="26" t="n">
        <v>353.8</v>
      </c>
      <c r="E5" s="26" t="n">
        <v>375.8</v>
      </c>
      <c r="F5" s="26" t="n">
        <v>407.4</v>
      </c>
      <c r="G5" s="44">
        <f>RAB!G11*Assumptions!$B$5</f>
        <v/>
      </c>
      <c r="H5" s="44">
        <f>RAB!H11*Assumptions!$B$5</f>
        <v/>
      </c>
      <c r="I5" s="44">
        <f>RAB!I11*Assumptions!$B$5</f>
        <v/>
      </c>
      <c r="J5" s="44">
        <f>RAB!J11*Assumptions!$B$5</f>
        <v/>
      </c>
      <c r="K5" s="44">
        <f>RAB!K11*Assumptions!$B$5</f>
        <v/>
      </c>
      <c r="L5" s="44">
        <f>RAB!L11*Assumptions!$B$5</f>
        <v/>
      </c>
      <c r="M5" s="44">
        <f>RAB!M11*Assumptions!$B$5</f>
        <v/>
      </c>
      <c r="N5" s="44">
        <f>RAB!N11*Assumptions!$B$5</f>
        <v/>
      </c>
      <c r="O5" s="44">
        <f>RAB!O11*Assumptions!$B$5</f>
        <v/>
      </c>
      <c r="P5" s="44">
        <f>RAB!P11*Assumptions!$B$5</f>
        <v/>
      </c>
    </row>
    <row r="6">
      <c r="A6" s="17" t="inlineStr">
        <is>
          <t xml:space="preserve">  Return of RAB  (Regulatory Depreciation)</t>
        </is>
      </c>
      <c r="B6" s="26" t="n">
        <v>120</v>
      </c>
      <c r="C6" s="26" t="n">
        <v>125.8</v>
      </c>
      <c r="D6" s="26" t="n">
        <v>132.4</v>
      </c>
      <c r="E6" s="26" t="n">
        <v>139.7</v>
      </c>
      <c r="F6" s="26" t="n">
        <v>149.3</v>
      </c>
      <c r="G6" s="44">
        <f>RAB!G8</f>
        <v/>
      </c>
      <c r="H6" s="44">
        <f>RAB!H8</f>
        <v/>
      </c>
      <c r="I6" s="44">
        <f>RAB!I8</f>
        <v/>
      </c>
      <c r="J6" s="44">
        <f>RAB!J8</f>
        <v/>
      </c>
      <c r="K6" s="44">
        <f>RAB!K8</f>
        <v/>
      </c>
      <c r="L6" s="44">
        <f>RAB!L8</f>
        <v/>
      </c>
      <c r="M6" s="44">
        <f>RAB!M8</f>
        <v/>
      </c>
      <c r="N6" s="44">
        <f>RAB!N8</f>
        <v/>
      </c>
      <c r="O6" s="44">
        <f>RAB!O8</f>
        <v/>
      </c>
      <c r="P6" s="44">
        <f>RAB!P8</f>
        <v/>
      </c>
    </row>
    <row r="7">
      <c r="A7" s="17" t="inlineStr">
        <is>
          <t xml:space="preserve">  Opex Allowance  (Frontier-adjusted)</t>
        </is>
      </c>
      <c r="B7" s="26" t="n">
        <v>168</v>
      </c>
      <c r="C7" s="26" t="n">
        <v>172</v>
      </c>
      <c r="D7" s="26" t="n">
        <v>176</v>
      </c>
      <c r="E7" s="26" t="n">
        <v>181</v>
      </c>
      <c r="F7" s="26" t="n">
        <v>185</v>
      </c>
      <c r="G7" s="44">
        <f>Frontier!G7</f>
        <v/>
      </c>
      <c r="H7" s="44">
        <f>Frontier!H7</f>
        <v/>
      </c>
      <c r="I7" s="44">
        <f>Frontier!I7</f>
        <v/>
      </c>
      <c r="J7" s="44">
        <f>Frontier!J7</f>
        <v/>
      </c>
      <c r="K7" s="44">
        <f>Frontier!K7</f>
        <v/>
      </c>
      <c r="L7" s="44">
        <f>Frontier!L7</f>
        <v/>
      </c>
      <c r="M7" s="44">
        <f>Frontier!M7</f>
        <v/>
      </c>
      <c r="N7" s="44">
        <f>Frontier!N7</f>
        <v/>
      </c>
      <c r="O7" s="44">
        <f>Frontier!O7</f>
        <v/>
      </c>
      <c r="P7" s="44">
        <f>Frontier!P7</f>
        <v/>
      </c>
    </row>
    <row r="8">
      <c r="A8" s="17" t="inlineStr">
        <is>
          <t xml:space="preserve">  Tax Allowance</t>
        </is>
      </c>
      <c r="B8" s="26" t="n">
        <v>39.7</v>
      </c>
      <c r="C8" s="26" t="n">
        <v>41.8</v>
      </c>
      <c r="D8" s="26" t="n">
        <v>44</v>
      </c>
      <c r="E8" s="26" t="n">
        <v>46.7</v>
      </c>
      <c r="F8" s="26" t="n">
        <v>50.7</v>
      </c>
      <c r="G8" s="44">
        <f>G15</f>
        <v/>
      </c>
      <c r="H8" s="44">
        <f>H15</f>
        <v/>
      </c>
      <c r="I8" s="44">
        <f>I15</f>
        <v/>
      </c>
      <c r="J8" s="44">
        <f>J15</f>
        <v/>
      </c>
      <c r="K8" s="44">
        <f>K15</f>
        <v/>
      </c>
      <c r="L8" s="44">
        <f>L15</f>
        <v/>
      </c>
      <c r="M8" s="44">
        <f>M15</f>
        <v/>
      </c>
      <c r="N8" s="44">
        <f>N15</f>
        <v/>
      </c>
      <c r="O8" s="44">
        <f>O15</f>
        <v/>
      </c>
      <c r="P8" s="44">
        <f>P15</f>
        <v/>
      </c>
    </row>
    <row r="9">
      <c r="A9" s="17" t="inlineStr">
        <is>
          <t xml:space="preserve">  Maximum Allowed Revenue (MAR)</t>
        </is>
      </c>
      <c r="B9" s="45" t="n">
        <v>603</v>
      </c>
      <c r="C9" s="45" t="n">
        <v>629</v>
      </c>
      <c r="D9" s="45" t="n">
        <v>666</v>
      </c>
      <c r="E9" s="45" t="n">
        <v>687</v>
      </c>
      <c r="F9" s="45" t="n">
        <v>731</v>
      </c>
      <c r="G9" s="42">
        <f>G5+G6+G7+G8</f>
        <v/>
      </c>
      <c r="H9" s="42">
        <f>H5+H6+H7+H8</f>
        <v/>
      </c>
      <c r="I9" s="42">
        <f>I5+I6+I7+I8</f>
        <v/>
      </c>
      <c r="J9" s="42">
        <f>J5+J6+J7+J8</f>
        <v/>
      </c>
      <c r="K9" s="42">
        <f>K5+K6+K7+K8</f>
        <v/>
      </c>
      <c r="L9" s="42">
        <f>L5+L6+L7+L8</f>
        <v/>
      </c>
      <c r="M9" s="42">
        <f>M5+M6+M7+M8</f>
        <v/>
      </c>
      <c r="N9" s="42">
        <f>N5+N6+N7+N8</f>
        <v/>
      </c>
      <c r="O9" s="42">
        <f>O5+O6+O7+O8</f>
        <v/>
      </c>
      <c r="P9" s="42">
        <f>P5+P6+P7+P8</f>
        <v/>
      </c>
    </row>
    <row r="11" ht="16" customHeight="1">
      <c r="A11" s="15" t="inlineStr">
        <is>
          <t>Tax Allowance Build-Up ($M)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Taxable Income (Return on RAB)</t>
        </is>
      </c>
      <c r="B12" s="26" t="n">
        <v>319.5</v>
      </c>
      <c r="C12" s="26" t="n">
        <v>335.7</v>
      </c>
      <c r="D12" s="26" t="n">
        <v>353.8</v>
      </c>
      <c r="E12" s="26" t="n">
        <v>375.8</v>
      </c>
      <c r="F12" s="26" t="n">
        <v>407.4</v>
      </c>
      <c r="G12" s="44">
        <f>RAB!G11*Assumptions!$B$5</f>
        <v/>
      </c>
      <c r="H12" s="44">
        <f>RAB!H11*Assumptions!$B$5</f>
        <v/>
      </c>
      <c r="I12" s="44">
        <f>RAB!I11*Assumptions!$B$5</f>
        <v/>
      </c>
      <c r="J12" s="44">
        <f>RAB!J11*Assumptions!$B$5</f>
        <v/>
      </c>
      <c r="K12" s="44">
        <f>RAB!K11*Assumptions!$B$5</f>
        <v/>
      </c>
      <c r="L12" s="44">
        <f>RAB!L11*Assumptions!$B$5</f>
        <v/>
      </c>
      <c r="M12" s="44">
        <f>RAB!M11*Assumptions!$B$5</f>
        <v/>
      </c>
      <c r="N12" s="44">
        <f>RAB!N11*Assumptions!$B$5</f>
        <v/>
      </c>
      <c r="O12" s="44">
        <f>RAB!O11*Assumptions!$B$5</f>
        <v/>
      </c>
      <c r="P12" s="44">
        <f>RAB!P11*Assumptions!$B$5</f>
        <v/>
      </c>
    </row>
    <row r="13">
      <c r="A13" s="17" t="inlineStr">
        <is>
          <t xml:space="preserve">  Gross Tax (× tax rate)</t>
        </is>
      </c>
      <c r="B13" s="26" t="n">
        <v>95.8</v>
      </c>
      <c r="C13" s="26" t="n">
        <v>100.7</v>
      </c>
      <c r="D13" s="26" t="n">
        <v>106.1</v>
      </c>
      <c r="E13" s="26" t="n">
        <v>112.7</v>
      </c>
      <c r="F13" s="26" t="n">
        <v>122.2</v>
      </c>
      <c r="G13" s="44">
        <f>G12*Assumptions!$B$12</f>
        <v/>
      </c>
      <c r="H13" s="44">
        <f>H12*Assumptions!$B$12</f>
        <v/>
      </c>
      <c r="I13" s="44">
        <f>I12*Assumptions!$B$12</f>
        <v/>
      </c>
      <c r="J13" s="44">
        <f>J12*Assumptions!$B$12</f>
        <v/>
      </c>
      <c r="K13" s="44">
        <f>K12*Assumptions!$B$12</f>
        <v/>
      </c>
      <c r="L13" s="44">
        <f>L12*Assumptions!$B$12</f>
        <v/>
      </c>
      <c r="M13" s="44">
        <f>M12*Assumptions!$B$12</f>
        <v/>
      </c>
      <c r="N13" s="44">
        <f>N12*Assumptions!$B$12</f>
        <v/>
      </c>
      <c r="O13" s="44">
        <f>O12*Assumptions!$B$12</f>
        <v/>
      </c>
      <c r="P13" s="44">
        <f>P12*Assumptions!$B$12</f>
        <v/>
      </c>
    </row>
    <row r="14">
      <c r="A14" s="17" t="inlineStr">
        <is>
          <t xml:space="preserve">  Gamma Benefit (× gamma × tax rate)</t>
        </is>
      </c>
      <c r="B14" s="26" t="n">
        <v>56.1</v>
      </c>
      <c r="C14" s="26" t="n">
        <v>58.9</v>
      </c>
      <c r="D14" s="26" t="n">
        <v>62.1</v>
      </c>
      <c r="E14" s="26" t="n">
        <v>66</v>
      </c>
      <c r="F14" s="26" t="n">
        <v>71.5</v>
      </c>
      <c r="G14" s="44">
        <f>G12*Assumptions!$B$11*Assumptions!$B$12</f>
        <v/>
      </c>
      <c r="H14" s="44">
        <f>H12*Assumptions!$B$11*Assumptions!$B$12</f>
        <v/>
      </c>
      <c r="I14" s="44">
        <f>I12*Assumptions!$B$11*Assumptions!$B$12</f>
        <v/>
      </c>
      <c r="J14" s="44">
        <f>J12*Assumptions!$B$11*Assumptions!$B$12</f>
        <v/>
      </c>
      <c r="K14" s="44">
        <f>K12*Assumptions!$B$11*Assumptions!$B$12</f>
        <v/>
      </c>
      <c r="L14" s="44">
        <f>L12*Assumptions!$B$11*Assumptions!$B$12</f>
        <v/>
      </c>
      <c r="M14" s="44">
        <f>M12*Assumptions!$B$11*Assumptions!$B$12</f>
        <v/>
      </c>
      <c r="N14" s="44">
        <f>N12*Assumptions!$B$11*Assumptions!$B$12</f>
        <v/>
      </c>
      <c r="O14" s="44">
        <f>O12*Assumptions!$B$11*Assumptions!$B$12</f>
        <v/>
      </c>
      <c r="P14" s="44">
        <f>P12*Assumptions!$B$11*Assumptions!$B$12</f>
        <v/>
      </c>
    </row>
    <row r="15">
      <c r="A15" s="17" t="inlineStr">
        <is>
          <t xml:space="preserve">  Net Tax Allowance</t>
        </is>
      </c>
      <c r="B15" s="26" t="n">
        <v>39.7</v>
      </c>
      <c r="C15" s="26" t="n">
        <v>41.8</v>
      </c>
      <c r="D15" s="26" t="n">
        <v>44</v>
      </c>
      <c r="E15" s="26" t="n">
        <v>46.7</v>
      </c>
      <c r="F15" s="26" t="n">
        <v>50.7</v>
      </c>
      <c r="G15" s="44">
        <f>G13-G14</f>
        <v/>
      </c>
      <c r="H15" s="44">
        <f>H13-H14</f>
        <v/>
      </c>
      <c r="I15" s="44">
        <f>I13-I14</f>
        <v/>
      </c>
      <c r="J15" s="44">
        <f>J13-J14</f>
        <v/>
      </c>
      <c r="K15" s="44">
        <f>K13-K14</f>
        <v/>
      </c>
      <c r="L15" s="44">
        <f>L13-L14</f>
        <v/>
      </c>
      <c r="M15" s="44">
        <f>M13-M14</f>
        <v/>
      </c>
      <c r="N15" s="44">
        <f>N13-N14</f>
        <v/>
      </c>
      <c r="O15" s="44">
        <f>O13-O14</f>
        <v/>
      </c>
      <c r="P15" s="44">
        <f>P13-P14</f>
        <v/>
      </c>
    </row>
  </sheetData>
  <mergeCells count="1">
    <mergeCell ref="A1:P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B0082"/>
    <outlinePr summaryBelow="1" summaryRight="1"/>
    <pageSetUpPr/>
  </sheetPr>
  <dimension ref="A1:Q4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6" t="inlineStr">
        <is>
          <t>AER DEPRECIATION TRACKING MODEL — Regulatory | Accounting | Tax (ATO)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Regulatory Depreciation (AER Standard Lives)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  (÷60yr AER)</t>
        </is>
      </c>
      <c r="B5" s="26">
        <f>'RAB Roll-Forward'!B8</f>
        <v/>
      </c>
      <c r="C5" s="26">
        <f>'RAB Roll-Forward'!C8</f>
        <v/>
      </c>
      <c r="D5" s="26">
        <f>'RAB Roll-Forward'!D8</f>
        <v/>
      </c>
      <c r="E5" s="26">
        <f>'RAB Roll-Forward'!E8</f>
        <v/>
      </c>
      <c r="F5" s="26">
        <f>'RAB Roll-Forward'!F8</f>
        <v/>
      </c>
      <c r="G5" s="44">
        <f>'RAB Roll-Forward'!G8</f>
        <v/>
      </c>
      <c r="H5" s="44">
        <f>'RAB Roll-Forward'!H8</f>
        <v/>
      </c>
      <c r="I5" s="44">
        <f>'RAB Roll-Forward'!I8</f>
        <v/>
      </c>
      <c r="J5" s="44">
        <f>'RAB Roll-Forward'!J8</f>
        <v/>
      </c>
      <c r="K5" s="44">
        <f>'RAB Roll-Forward'!K8</f>
        <v/>
      </c>
      <c r="L5" s="44">
        <f>'RAB Roll-Forward'!L8</f>
        <v/>
      </c>
      <c r="M5" s="44">
        <f>'RAB Roll-Forward'!M8</f>
        <v/>
      </c>
      <c r="N5" s="44">
        <f>'RAB Roll-Forward'!N8</f>
        <v/>
      </c>
      <c r="O5" s="44">
        <f>'RAB Roll-Forward'!O8</f>
        <v/>
      </c>
      <c r="P5" s="44">
        <f>'RAB Roll-Forward'!P8</f>
        <v/>
      </c>
    </row>
    <row r="6">
      <c r="A6" s="17" t="inlineStr">
        <is>
          <t xml:space="preserve">  Substations  (÷55yr AER)</t>
        </is>
      </c>
      <c r="B6" s="26">
        <f>'RAB Roll-Forward'!B15</f>
        <v/>
      </c>
      <c r="C6" s="26">
        <f>'RAB Roll-Forward'!C15</f>
        <v/>
      </c>
      <c r="D6" s="26">
        <f>'RAB Roll-Forward'!D15</f>
        <v/>
      </c>
      <c r="E6" s="26">
        <f>'RAB Roll-Forward'!E15</f>
        <v/>
      </c>
      <c r="F6" s="26">
        <f>'RAB Roll-Forward'!F15</f>
        <v/>
      </c>
      <c r="G6" s="44">
        <f>'RAB Roll-Forward'!G15</f>
        <v/>
      </c>
      <c r="H6" s="44">
        <f>'RAB Roll-Forward'!H15</f>
        <v/>
      </c>
      <c r="I6" s="44">
        <f>'RAB Roll-Forward'!I15</f>
        <v/>
      </c>
      <c r="J6" s="44">
        <f>'RAB Roll-Forward'!J15</f>
        <v/>
      </c>
      <c r="K6" s="44">
        <f>'RAB Roll-Forward'!K15</f>
        <v/>
      </c>
      <c r="L6" s="44">
        <f>'RAB Roll-Forward'!L15</f>
        <v/>
      </c>
      <c r="M6" s="44">
        <f>'RAB Roll-Forward'!M15</f>
        <v/>
      </c>
      <c r="N6" s="44">
        <f>'RAB Roll-Forward'!N15</f>
        <v/>
      </c>
      <c r="O6" s="44">
        <f>'RAB Roll-Forward'!O15</f>
        <v/>
      </c>
      <c r="P6" s="44">
        <f>'RAB Roll-Forward'!P15</f>
        <v/>
      </c>
    </row>
    <row r="7">
      <c r="A7" s="17" t="inlineStr">
        <is>
          <t xml:space="preserve">  Transformers  (÷45yr AER)</t>
        </is>
      </c>
      <c r="B7" s="26">
        <f>'RAB Roll-Forward'!B22</f>
        <v/>
      </c>
      <c r="C7" s="26">
        <f>'RAB Roll-Forward'!C22</f>
        <v/>
      </c>
      <c r="D7" s="26">
        <f>'RAB Roll-Forward'!D22</f>
        <v/>
      </c>
      <c r="E7" s="26">
        <f>'RAB Roll-Forward'!E22</f>
        <v/>
      </c>
      <c r="F7" s="26">
        <f>'RAB Roll-Forward'!F22</f>
        <v/>
      </c>
      <c r="G7" s="44">
        <f>'RAB Roll-Forward'!G22</f>
        <v/>
      </c>
      <c r="H7" s="44">
        <f>'RAB Roll-Forward'!H22</f>
        <v/>
      </c>
      <c r="I7" s="44">
        <f>'RAB Roll-Forward'!I22</f>
        <v/>
      </c>
      <c r="J7" s="44">
        <f>'RAB Roll-Forward'!J22</f>
        <v/>
      </c>
      <c r="K7" s="44">
        <f>'RAB Roll-Forward'!K22</f>
        <v/>
      </c>
      <c r="L7" s="44">
        <f>'RAB Roll-Forward'!L22</f>
        <v/>
      </c>
      <c r="M7" s="44">
        <f>'RAB Roll-Forward'!M22</f>
        <v/>
      </c>
      <c r="N7" s="44">
        <f>'RAB Roll-Forward'!N22</f>
        <v/>
      </c>
      <c r="O7" s="44">
        <f>'RAB Roll-Forward'!O22</f>
        <v/>
      </c>
      <c r="P7" s="44">
        <f>'RAB Roll-Forward'!P22</f>
        <v/>
      </c>
    </row>
    <row r="8">
      <c r="A8" s="17" t="inlineStr">
        <is>
          <t xml:space="preserve">  SCADA &amp; Control  (÷25yr AER)</t>
        </is>
      </c>
      <c r="B8" s="26">
        <f>'RAB Roll-Forward'!B29</f>
        <v/>
      </c>
      <c r="C8" s="26">
        <f>'RAB Roll-Forward'!C29</f>
        <v/>
      </c>
      <c r="D8" s="26">
        <f>'RAB Roll-Forward'!D29</f>
        <v/>
      </c>
      <c r="E8" s="26">
        <f>'RAB Roll-Forward'!E29</f>
        <v/>
      </c>
      <c r="F8" s="26">
        <f>'RAB Roll-Forward'!F29</f>
        <v/>
      </c>
      <c r="G8" s="44">
        <f>'RAB Roll-Forward'!G29</f>
        <v/>
      </c>
      <c r="H8" s="44">
        <f>'RAB Roll-Forward'!H29</f>
        <v/>
      </c>
      <c r="I8" s="44">
        <f>'RAB Roll-Forward'!I29</f>
        <v/>
      </c>
      <c r="J8" s="44">
        <f>'RAB Roll-Forward'!J29</f>
        <v/>
      </c>
      <c r="K8" s="44">
        <f>'RAB Roll-Forward'!K29</f>
        <v/>
      </c>
      <c r="L8" s="44">
        <f>'RAB Roll-Forward'!L29</f>
        <v/>
      </c>
      <c r="M8" s="44">
        <f>'RAB Roll-Forward'!M29</f>
        <v/>
      </c>
      <c r="N8" s="44">
        <f>'RAB Roll-Forward'!N29</f>
        <v/>
      </c>
      <c r="O8" s="44">
        <f>'RAB Roll-Forward'!O29</f>
        <v/>
      </c>
      <c r="P8" s="44">
        <f>'RAB Roll-Forward'!P29</f>
        <v/>
      </c>
    </row>
    <row r="9">
      <c r="A9" s="17" t="inlineStr">
        <is>
          <t xml:space="preserve">  Other Equipment  (÷30yr AER)</t>
        </is>
      </c>
      <c r="B9" s="26">
        <f>'RAB Roll-Forward'!B36</f>
        <v/>
      </c>
      <c r="C9" s="26">
        <f>'RAB Roll-Forward'!C36</f>
        <v/>
      </c>
      <c r="D9" s="26">
        <f>'RAB Roll-Forward'!D36</f>
        <v/>
      </c>
      <c r="E9" s="26">
        <f>'RAB Roll-Forward'!E36</f>
        <v/>
      </c>
      <c r="F9" s="26">
        <f>'RAB Roll-Forward'!F36</f>
        <v/>
      </c>
      <c r="G9" s="44">
        <f>'RAB Roll-Forward'!G36</f>
        <v/>
      </c>
      <c r="H9" s="44">
        <f>'RAB Roll-Forward'!H36</f>
        <v/>
      </c>
      <c r="I9" s="44">
        <f>'RAB Roll-Forward'!I36</f>
        <v/>
      </c>
      <c r="J9" s="44">
        <f>'RAB Roll-Forward'!J36</f>
        <v/>
      </c>
      <c r="K9" s="44">
        <f>'RAB Roll-Forward'!K36</f>
        <v/>
      </c>
      <c r="L9" s="44">
        <f>'RAB Roll-Forward'!L36</f>
        <v/>
      </c>
      <c r="M9" s="44">
        <f>'RAB Roll-Forward'!M36</f>
        <v/>
      </c>
      <c r="N9" s="44">
        <f>'RAB Roll-Forward'!N36</f>
        <v/>
      </c>
      <c r="O9" s="44">
        <f>'RAB Roll-Forward'!O36</f>
        <v/>
      </c>
      <c r="P9" s="44">
        <f>'RAB Roll-Forward'!P36</f>
        <v/>
      </c>
    </row>
    <row r="10">
      <c r="A10" s="17" t="inlineStr">
        <is>
          <t xml:space="preserve">  Total Regulatory Depreciation  →  Return of RAB (PTRM)</t>
        </is>
      </c>
      <c r="B10" s="42">
        <f>SUM(B5:B9)</f>
        <v/>
      </c>
      <c r="C10" s="42">
        <f>SUM(C5:C9)</f>
        <v/>
      </c>
      <c r="D10" s="42">
        <f>SUM(D5:D9)</f>
        <v/>
      </c>
      <c r="E10" s="42">
        <f>SUM(E5:E9)</f>
        <v/>
      </c>
      <c r="F10" s="42">
        <f>SUM(F5:F9)</f>
        <v/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SECTION B — Accounting Depreciation AASB 116 (from Fixed Assets tab)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Transmission Lines  (÷40yr acc.)</t>
        </is>
      </c>
      <c r="B13" s="26">
        <f>'Fixed Assets'!B11</f>
        <v/>
      </c>
      <c r="C13" s="26">
        <f>'Fixed Assets'!C11</f>
        <v/>
      </c>
      <c r="D13" s="26">
        <f>'Fixed Assets'!D11</f>
        <v/>
      </c>
      <c r="E13" s="26">
        <f>'Fixed Assets'!E11</f>
        <v/>
      </c>
      <c r="F13" s="26">
        <f>'Fixed Assets'!F11</f>
        <v/>
      </c>
      <c r="G13" s="44">
        <f>'Fixed Assets'!G11</f>
        <v/>
      </c>
      <c r="H13" s="44">
        <f>'Fixed Assets'!H11</f>
        <v/>
      </c>
      <c r="I13" s="44">
        <f>'Fixed Assets'!I11</f>
        <v/>
      </c>
      <c r="J13" s="44">
        <f>'Fixed Assets'!J11</f>
        <v/>
      </c>
      <c r="K13" s="44">
        <f>'Fixed Assets'!K11</f>
        <v/>
      </c>
      <c r="L13" s="44">
        <f>'Fixed Assets'!L11</f>
        <v/>
      </c>
      <c r="M13" s="44">
        <f>'Fixed Assets'!M11</f>
        <v/>
      </c>
      <c r="N13" s="44">
        <f>'Fixed Assets'!N11</f>
        <v/>
      </c>
      <c r="O13" s="44">
        <f>'Fixed Assets'!O11</f>
        <v/>
      </c>
      <c r="P13" s="44">
        <f>'Fixed Assets'!P11</f>
        <v/>
      </c>
    </row>
    <row r="14">
      <c r="A14" s="17" t="inlineStr">
        <is>
          <t xml:space="preserve">  Substations  (÷40yr acc.)</t>
        </is>
      </c>
      <c r="B14" s="26">
        <f>'Fixed Assets'!B19</f>
        <v/>
      </c>
      <c r="C14" s="26">
        <f>'Fixed Assets'!C19</f>
        <v/>
      </c>
      <c r="D14" s="26">
        <f>'Fixed Assets'!D19</f>
        <v/>
      </c>
      <c r="E14" s="26">
        <f>'Fixed Assets'!E19</f>
        <v/>
      </c>
      <c r="F14" s="26">
        <f>'Fixed Assets'!F19</f>
        <v/>
      </c>
      <c r="G14" s="44">
        <f>'Fixed Assets'!G19</f>
        <v/>
      </c>
      <c r="H14" s="44">
        <f>'Fixed Assets'!H19</f>
        <v/>
      </c>
      <c r="I14" s="44">
        <f>'Fixed Assets'!I19</f>
        <v/>
      </c>
      <c r="J14" s="44">
        <f>'Fixed Assets'!J19</f>
        <v/>
      </c>
      <c r="K14" s="44">
        <f>'Fixed Assets'!K19</f>
        <v/>
      </c>
      <c r="L14" s="44">
        <f>'Fixed Assets'!L19</f>
        <v/>
      </c>
      <c r="M14" s="44">
        <f>'Fixed Assets'!M19</f>
        <v/>
      </c>
      <c r="N14" s="44">
        <f>'Fixed Assets'!N19</f>
        <v/>
      </c>
      <c r="O14" s="44">
        <f>'Fixed Assets'!O19</f>
        <v/>
      </c>
      <c r="P14" s="44">
        <f>'Fixed Assets'!P19</f>
        <v/>
      </c>
    </row>
    <row r="15">
      <c r="A15" s="17" t="inlineStr">
        <is>
          <t xml:space="preserve">  Transformers  (÷30yr acc.)</t>
        </is>
      </c>
      <c r="B15" s="26">
        <f>'Fixed Assets'!B27</f>
        <v/>
      </c>
      <c r="C15" s="26">
        <f>'Fixed Assets'!C27</f>
        <v/>
      </c>
      <c r="D15" s="26">
        <f>'Fixed Assets'!D27</f>
        <v/>
      </c>
      <c r="E15" s="26">
        <f>'Fixed Assets'!E27</f>
        <v/>
      </c>
      <c r="F15" s="26">
        <f>'Fixed Assets'!F27</f>
        <v/>
      </c>
      <c r="G15" s="44">
        <f>'Fixed Assets'!G27</f>
        <v/>
      </c>
      <c r="H15" s="44">
        <f>'Fixed Assets'!H27</f>
        <v/>
      </c>
      <c r="I15" s="44">
        <f>'Fixed Assets'!I27</f>
        <v/>
      </c>
      <c r="J15" s="44">
        <f>'Fixed Assets'!J27</f>
        <v/>
      </c>
      <c r="K15" s="44">
        <f>'Fixed Assets'!K27</f>
        <v/>
      </c>
      <c r="L15" s="44">
        <f>'Fixed Assets'!L27</f>
        <v/>
      </c>
      <c r="M15" s="44">
        <f>'Fixed Assets'!M27</f>
        <v/>
      </c>
      <c r="N15" s="44">
        <f>'Fixed Assets'!N27</f>
        <v/>
      </c>
      <c r="O15" s="44">
        <f>'Fixed Assets'!O27</f>
        <v/>
      </c>
      <c r="P15" s="44">
        <f>'Fixed Assets'!P27</f>
        <v/>
      </c>
    </row>
    <row r="16">
      <c r="A16" s="17" t="inlineStr">
        <is>
          <t xml:space="preserve">  SCADA &amp; Control  (÷15yr acc.)</t>
        </is>
      </c>
      <c r="B16" s="26">
        <f>'Fixed Assets'!B35</f>
        <v/>
      </c>
      <c r="C16" s="26">
        <f>'Fixed Assets'!C35</f>
        <v/>
      </c>
      <c r="D16" s="26">
        <f>'Fixed Assets'!D35</f>
        <v/>
      </c>
      <c r="E16" s="26">
        <f>'Fixed Assets'!E35</f>
        <v/>
      </c>
      <c r="F16" s="26">
        <f>'Fixed Assets'!F35</f>
        <v/>
      </c>
      <c r="G16" s="44">
        <f>'Fixed Assets'!G35</f>
        <v/>
      </c>
      <c r="H16" s="44">
        <f>'Fixed Assets'!H35</f>
        <v/>
      </c>
      <c r="I16" s="44">
        <f>'Fixed Assets'!I35</f>
        <v/>
      </c>
      <c r="J16" s="44">
        <f>'Fixed Assets'!J35</f>
        <v/>
      </c>
      <c r="K16" s="44">
        <f>'Fixed Assets'!K35</f>
        <v/>
      </c>
      <c r="L16" s="44">
        <f>'Fixed Assets'!L35</f>
        <v/>
      </c>
      <c r="M16" s="44">
        <f>'Fixed Assets'!M35</f>
        <v/>
      </c>
      <c r="N16" s="44">
        <f>'Fixed Assets'!N35</f>
        <v/>
      </c>
      <c r="O16" s="44">
        <f>'Fixed Assets'!O35</f>
        <v/>
      </c>
      <c r="P16" s="44">
        <f>'Fixed Assets'!P35</f>
        <v/>
      </c>
    </row>
    <row r="17">
      <c r="A17" s="17" t="inlineStr">
        <is>
          <t xml:space="preserve">  Other Equipment  (÷20yr acc.)</t>
        </is>
      </c>
      <c r="B17" s="26">
        <f>'Fixed Assets'!B43</f>
        <v/>
      </c>
      <c r="C17" s="26">
        <f>'Fixed Assets'!C43</f>
        <v/>
      </c>
      <c r="D17" s="26">
        <f>'Fixed Assets'!D43</f>
        <v/>
      </c>
      <c r="E17" s="26">
        <f>'Fixed Assets'!E43</f>
        <v/>
      </c>
      <c r="F17" s="26">
        <f>'Fixed Assets'!F43</f>
        <v/>
      </c>
      <c r="G17" s="44">
        <f>'Fixed Assets'!G43</f>
        <v/>
      </c>
      <c r="H17" s="44">
        <f>'Fixed Assets'!H43</f>
        <v/>
      </c>
      <c r="I17" s="44">
        <f>'Fixed Assets'!I43</f>
        <v/>
      </c>
      <c r="J17" s="44">
        <f>'Fixed Assets'!J43</f>
        <v/>
      </c>
      <c r="K17" s="44">
        <f>'Fixed Assets'!K43</f>
        <v/>
      </c>
      <c r="L17" s="44">
        <f>'Fixed Assets'!L43</f>
        <v/>
      </c>
      <c r="M17" s="44">
        <f>'Fixed Assets'!M43</f>
        <v/>
      </c>
      <c r="N17" s="44">
        <f>'Fixed Assets'!N43</f>
        <v/>
      </c>
      <c r="O17" s="44">
        <f>'Fixed Assets'!O43</f>
        <v/>
      </c>
      <c r="P17" s="44">
        <f>'Fixed Assets'!P43</f>
        <v/>
      </c>
    </row>
    <row r="18">
      <c r="A18" s="17" t="inlineStr">
        <is>
          <t xml:space="preserve">  Total Accounting Depreciation  →  cross-check vs IS D&amp;A charge</t>
        </is>
      </c>
      <c r="B18" s="42">
        <f>SUM(B13:B17)</f>
        <v/>
      </c>
      <c r="C18" s="42">
        <f>SUM(C13:C17)</f>
        <v/>
      </c>
      <c r="D18" s="42">
        <f>SUM(D13:D17)</f>
        <v/>
      </c>
      <c r="E18" s="42">
        <f>SUM(E13:E17)</f>
        <v/>
      </c>
      <c r="F18" s="42">
        <f>SUM(F13:F17)</f>
        <v/>
      </c>
      <c r="G18" s="42">
        <f>SUM(G13:G17)</f>
        <v/>
      </c>
      <c r="H18" s="42">
        <f>SUM(H13:H17)</f>
        <v/>
      </c>
      <c r="I18" s="42">
        <f>SUM(I13:I17)</f>
        <v/>
      </c>
      <c r="J18" s="42">
        <f>SUM(J13:J17)</f>
        <v/>
      </c>
      <c r="K18" s="42">
        <f>SUM(K13:K17)</f>
        <v/>
      </c>
      <c r="L18" s="42">
        <f>SUM(L13:L17)</f>
        <v/>
      </c>
      <c r="M18" s="42">
        <f>SUM(M13:M17)</f>
        <v/>
      </c>
      <c r="N18" s="42">
        <f>SUM(N13:N17)</f>
        <v/>
      </c>
      <c r="O18" s="42">
        <f>SUM(O13:O17)</f>
        <v/>
      </c>
      <c r="P18" s="42">
        <f>SUM(P13:P17)</f>
        <v/>
      </c>
    </row>
    <row r="20" ht="16" customHeight="1">
      <c r="A20" s="15" t="inlineStr">
        <is>
          <t>SECTION C — Depreciation Delta Analysis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Regulatory Dep − Accounting Dep  (&gt;0 = reg slower → regulatory asset builds)</t>
        </is>
      </c>
      <c r="B21" s="26">
        <f>B10-B18</f>
        <v/>
      </c>
      <c r="C21" s="26">
        <f>C10-C18</f>
        <v/>
      </c>
      <c r="D21" s="26">
        <f>D10-D18</f>
        <v/>
      </c>
      <c r="E21" s="26">
        <f>E10-E18</f>
        <v/>
      </c>
      <c r="F21" s="26">
        <f>F10-F18</f>
        <v/>
      </c>
      <c r="G21" s="44">
        <f>G10-G18</f>
        <v/>
      </c>
      <c r="H21" s="44">
        <f>H10-H18</f>
        <v/>
      </c>
      <c r="I21" s="44">
        <f>I10-I18</f>
        <v/>
      </c>
      <c r="J21" s="44">
        <f>J10-J18</f>
        <v/>
      </c>
      <c r="K21" s="44">
        <f>K10-K18</f>
        <v/>
      </c>
      <c r="L21" s="44">
        <f>L10-L18</f>
        <v/>
      </c>
      <c r="M21" s="44">
        <f>M10-M18</f>
        <v/>
      </c>
      <c r="N21" s="44">
        <f>N10-N18</f>
        <v/>
      </c>
      <c r="O21" s="44">
        <f>O10-O18</f>
        <v/>
      </c>
      <c r="P21" s="44">
        <f>P10-P18</f>
        <v/>
      </c>
    </row>
    <row r="22">
      <c r="A22" s="17" t="inlineStr">
        <is>
          <t xml:space="preserve">  Regulatory Dep − Tax Dep  (&gt;0 = reg slower than ATO → MAR includes more 'Return of RAB')</t>
        </is>
      </c>
      <c r="B22" s="26">
        <f>B10-B27</f>
        <v/>
      </c>
      <c r="C22" s="26">
        <f>C10-C27</f>
        <v/>
      </c>
      <c r="D22" s="26">
        <f>D10-D27</f>
        <v/>
      </c>
      <c r="E22" s="26">
        <f>E10-E27</f>
        <v/>
      </c>
      <c r="F22" s="26">
        <f>F10-F27</f>
        <v/>
      </c>
      <c r="G22" s="44">
        <f>G10-G27</f>
        <v/>
      </c>
      <c r="H22" s="44">
        <f>H10-H27</f>
        <v/>
      </c>
      <c r="I22" s="44">
        <f>I10-I27</f>
        <v/>
      </c>
      <c r="J22" s="44">
        <f>J10-J27</f>
        <v/>
      </c>
      <c r="K22" s="44">
        <f>K10-K27</f>
        <v/>
      </c>
      <c r="L22" s="44">
        <f>L10-L27</f>
        <v/>
      </c>
      <c r="M22" s="44">
        <f>M10-M27</f>
        <v/>
      </c>
      <c r="N22" s="44">
        <f>N10-N27</f>
        <v/>
      </c>
      <c r="O22" s="44">
        <f>O10-O27</f>
        <v/>
      </c>
      <c r="P22" s="44">
        <f>P10-P27</f>
        <v/>
      </c>
    </row>
    <row r="24" ht="16" customHeight="1">
      <c r="A24" s="15" t="inlineStr">
        <is>
          <t>SECTION D — Tax Asset Base (TAB) Roll-Forward  [ATO Prime Cost | Blended Life: 37 years] ($M)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>
      <c r="A25" s="17" t="inlineStr">
        <is>
          <t xml:space="preserve">  Opening TAB</t>
        </is>
      </c>
      <c r="B25" s="26" t="n">
        <v>3500</v>
      </c>
      <c r="C25" s="26" t="n">
        <v>3680.9</v>
      </c>
      <c r="D25" s="26" t="n">
        <v>3881.9</v>
      </c>
      <c r="E25" s="26" t="n">
        <v>4102.3</v>
      </c>
      <c r="F25" s="26" t="n">
        <v>4341.8</v>
      </c>
      <c r="G25" s="44">
        <f>F28</f>
        <v/>
      </c>
      <c r="H25" s="44">
        <f>G28</f>
        <v/>
      </c>
      <c r="I25" s="44">
        <f>H28</f>
        <v/>
      </c>
      <c r="J25" s="44">
        <f>I28</f>
        <v/>
      </c>
      <c r="K25" s="44">
        <f>J28</f>
        <v/>
      </c>
      <c r="L25" s="44">
        <f>K28</f>
        <v/>
      </c>
      <c r="M25" s="44">
        <f>L28</f>
        <v/>
      </c>
      <c r="N25" s="44">
        <f>M28</f>
        <v/>
      </c>
      <c r="O25" s="44">
        <f>N28</f>
        <v/>
      </c>
      <c r="P25" s="44">
        <f>O28</f>
        <v/>
      </c>
    </row>
    <row r="26">
      <c r="A26" s="17" t="inlineStr">
        <is>
          <t xml:space="preserve">  + Capex Additions  (ATO cost basis)</t>
        </is>
      </c>
      <c r="B26" s="26" t="n">
        <v>280</v>
      </c>
      <c r="C26" s="26" t="n">
        <v>305.1</v>
      </c>
      <c r="D26" s="26" t="n">
        <v>330</v>
      </c>
      <c r="E26" s="26" t="n">
        <v>355.1</v>
      </c>
      <c r="F26" s="26" t="n">
        <v>380</v>
      </c>
      <c r="G26" s="44">
        <f>Capex!G13</f>
        <v/>
      </c>
      <c r="H26" s="44">
        <f>Capex!H13</f>
        <v/>
      </c>
      <c r="I26" s="44">
        <f>Capex!I13</f>
        <v/>
      </c>
      <c r="J26" s="44">
        <f>Capex!J13</f>
        <v/>
      </c>
      <c r="K26" s="44">
        <f>Capex!K13</f>
        <v/>
      </c>
      <c r="L26" s="44">
        <f>Capex!L13</f>
        <v/>
      </c>
      <c r="M26" s="44">
        <f>Capex!M13</f>
        <v/>
      </c>
      <c r="N26" s="44">
        <f>Capex!N13</f>
        <v/>
      </c>
      <c r="O26" s="44">
        <f>Capex!O13</f>
        <v/>
      </c>
      <c r="P26" s="44">
        <f>Capex!P13</f>
        <v/>
      </c>
    </row>
    <row r="27">
      <c r="A27" s="17" t="inlineStr">
        <is>
          <t xml:space="preserve">  − Tax Depreciation  (Opening TAB ÷ 37yr blended ATO life)</t>
        </is>
      </c>
      <c r="B27" s="26" t="n">
        <v>99.09999999999999</v>
      </c>
      <c r="C27" s="26" t="n">
        <v>104.1</v>
      </c>
      <c r="D27" s="26" t="n">
        <v>109.6</v>
      </c>
      <c r="E27" s="26" t="n">
        <v>115.6</v>
      </c>
      <c r="F27" s="26" t="n">
        <v>122.2</v>
      </c>
      <c r="G27" s="44">
        <f>G25/37</f>
        <v/>
      </c>
      <c r="H27" s="44">
        <f>H25/37</f>
        <v/>
      </c>
      <c r="I27" s="44">
        <f>I25/37</f>
        <v/>
      </c>
      <c r="J27" s="44">
        <f>J25/37</f>
        <v/>
      </c>
      <c r="K27" s="44">
        <f>K25/37</f>
        <v/>
      </c>
      <c r="L27" s="44">
        <f>L25/37</f>
        <v/>
      </c>
      <c r="M27" s="44">
        <f>M25/37</f>
        <v/>
      </c>
      <c r="N27" s="44">
        <f>N25/37</f>
        <v/>
      </c>
      <c r="O27" s="44">
        <f>O25/37</f>
        <v/>
      </c>
      <c r="P27" s="44">
        <f>P25/37</f>
        <v/>
      </c>
    </row>
    <row r="28">
      <c r="A28" s="17" t="inlineStr">
        <is>
          <t xml:space="preserve">  = Closing TAB</t>
        </is>
      </c>
      <c r="B28" s="45" t="n">
        <v>3680.9</v>
      </c>
      <c r="C28" s="45" t="n">
        <v>3881.9</v>
      </c>
      <c r="D28" s="45" t="n">
        <v>4102.3</v>
      </c>
      <c r="E28" s="45" t="n">
        <v>4341.8</v>
      </c>
      <c r="F28" s="45" t="n">
        <v>4599.6</v>
      </c>
      <c r="G28" s="42">
        <f>G25+G26-G27</f>
        <v/>
      </c>
      <c r="H28" s="42">
        <f>H25+H26-H27</f>
        <v/>
      </c>
      <c r="I28" s="42">
        <f>I25+I26-I27</f>
        <v/>
      </c>
      <c r="J28" s="42">
        <f>J25+J26-J27</f>
        <v/>
      </c>
      <c r="K28" s="42">
        <f>K25+K26-K27</f>
        <v/>
      </c>
      <c r="L28" s="42">
        <f>L25+L26-L27</f>
        <v/>
      </c>
      <c r="M28" s="42">
        <f>M25+M26-M27</f>
        <v/>
      </c>
      <c r="N28" s="42">
        <f>N25+N26-N27</f>
        <v/>
      </c>
      <c r="O28" s="42">
        <f>O25+O26-O27</f>
        <v/>
      </c>
      <c r="P28" s="42">
        <f>P25+P26-P27</f>
        <v/>
      </c>
    </row>
    <row r="30" ht="16" customHeight="1">
      <c r="A30" s="15" t="inlineStr">
        <is>
          <t>SECTION E — Accumulated Depreciation Comparison ($M)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>
      <c r="A31" s="17" t="inlineStr">
        <is>
          <t xml:space="preserve">  Accumulated Regulatory Dep. (closing)  ←  RAB Roll-Forward</t>
        </is>
      </c>
      <c r="B31" s="26">
        <f>'RAB Roll-Forward'!B51</f>
        <v/>
      </c>
      <c r="C31" s="26">
        <f>'RAB Roll-Forward'!C51</f>
        <v/>
      </c>
      <c r="D31" s="26">
        <f>'RAB Roll-Forward'!D51</f>
        <v/>
      </c>
      <c r="E31" s="26">
        <f>'RAB Roll-Forward'!E51</f>
        <v/>
      </c>
      <c r="F31" s="26">
        <f>'RAB Roll-Forward'!F51</f>
        <v/>
      </c>
      <c r="G31" s="44">
        <f>'RAB Roll-Forward'!G51</f>
        <v/>
      </c>
      <c r="H31" s="44">
        <f>'RAB Roll-Forward'!H51</f>
        <v/>
      </c>
      <c r="I31" s="44">
        <f>'RAB Roll-Forward'!I51</f>
        <v/>
      </c>
      <c r="J31" s="44">
        <f>'RAB Roll-Forward'!J51</f>
        <v/>
      </c>
      <c r="K31" s="44">
        <f>'RAB Roll-Forward'!K51</f>
        <v/>
      </c>
      <c r="L31" s="44">
        <f>'RAB Roll-Forward'!L51</f>
        <v/>
      </c>
      <c r="M31" s="44">
        <f>'RAB Roll-Forward'!M51</f>
        <v/>
      </c>
      <c r="N31" s="44">
        <f>'RAB Roll-Forward'!N51</f>
        <v/>
      </c>
      <c r="O31" s="44">
        <f>'RAB Roll-Forward'!O51</f>
        <v/>
      </c>
      <c r="P31" s="44">
        <f>'RAB Roll-Forward'!P51</f>
        <v/>
      </c>
    </row>
    <row r="32">
      <c r="A32" s="17" t="inlineStr">
        <is>
          <t xml:space="preserve">  Accumulated Tax Dep. (opening)</t>
        </is>
      </c>
      <c r="B32" s="26" t="n">
        <v>4300</v>
      </c>
      <c r="C32" s="26" t="n">
        <v>4399.1</v>
      </c>
      <c r="D32" s="26" t="n">
        <v>4503.2</v>
      </c>
      <c r="E32" s="26" t="n">
        <v>4612.8</v>
      </c>
      <c r="F32" s="26" t="n">
        <v>4728.4</v>
      </c>
      <c r="G32" s="44">
        <f>F34</f>
        <v/>
      </c>
      <c r="H32" s="44">
        <f>G34</f>
        <v/>
      </c>
      <c r="I32" s="44">
        <f>H34</f>
        <v/>
      </c>
      <c r="J32" s="44">
        <f>I34</f>
        <v/>
      </c>
      <c r="K32" s="44">
        <f>J34</f>
        <v/>
      </c>
      <c r="L32" s="44">
        <f>K34</f>
        <v/>
      </c>
      <c r="M32" s="44">
        <f>L34</f>
        <v/>
      </c>
      <c r="N32" s="44">
        <f>M34</f>
        <v/>
      </c>
      <c r="O32" s="44">
        <f>N34</f>
        <v/>
      </c>
      <c r="P32" s="44">
        <f>O34</f>
        <v/>
      </c>
    </row>
    <row r="33">
      <c r="A33" s="17" t="inlineStr">
        <is>
          <t xml:space="preserve">  + Current Year Tax Dep.</t>
        </is>
      </c>
      <c r="B33" s="26" t="n">
        <v>99.09999999999999</v>
      </c>
      <c r="C33" s="26" t="n">
        <v>104.1</v>
      </c>
      <c r="D33" s="26" t="n">
        <v>109.6</v>
      </c>
      <c r="E33" s="26" t="n">
        <v>115.6</v>
      </c>
      <c r="F33" s="26" t="n">
        <v>122.2</v>
      </c>
      <c r="G33" s="44">
        <f>G27</f>
        <v/>
      </c>
      <c r="H33" s="44">
        <f>H27</f>
        <v/>
      </c>
      <c r="I33" s="44">
        <f>I27</f>
        <v/>
      </c>
      <c r="J33" s="44">
        <f>J27</f>
        <v/>
      </c>
      <c r="K33" s="44">
        <f>K27</f>
        <v/>
      </c>
      <c r="L33" s="44">
        <f>L27</f>
        <v/>
      </c>
      <c r="M33" s="44">
        <f>M27</f>
        <v/>
      </c>
      <c r="N33" s="44">
        <f>N27</f>
        <v/>
      </c>
      <c r="O33" s="44">
        <f>O27</f>
        <v/>
      </c>
      <c r="P33" s="44">
        <f>P27</f>
        <v/>
      </c>
    </row>
    <row r="34">
      <c r="A34" s="17" t="inlineStr">
        <is>
          <t xml:space="preserve">  = Accumulated Tax Dep. (closing)</t>
        </is>
      </c>
      <c r="B34" s="45" t="n">
        <v>4399.1</v>
      </c>
      <c r="C34" s="45" t="n">
        <v>4503.2</v>
      </c>
      <c r="D34" s="45" t="n">
        <v>4612.8</v>
      </c>
      <c r="E34" s="45" t="n">
        <v>4728.4</v>
      </c>
      <c r="F34" s="45" t="n">
        <v>4850.6</v>
      </c>
      <c r="G34" s="42">
        <f>G32+G33</f>
        <v/>
      </c>
      <c r="H34" s="42">
        <f>H32+H33</f>
        <v/>
      </c>
      <c r="I34" s="42">
        <f>I32+I33</f>
        <v/>
      </c>
      <c r="J34" s="42">
        <f>J32+J33</f>
        <v/>
      </c>
      <c r="K34" s="42">
        <f>K32+K33</f>
        <v/>
      </c>
      <c r="L34" s="42">
        <f>L32+L33</f>
        <v/>
      </c>
      <c r="M34" s="42">
        <f>M32+M33</f>
        <v/>
      </c>
      <c r="N34" s="42">
        <f>N32+N33</f>
        <v/>
      </c>
      <c r="O34" s="42">
        <f>O32+O33</f>
        <v/>
      </c>
      <c r="P34" s="42">
        <f>P32+P33</f>
        <v/>
      </c>
    </row>
    <row r="35">
      <c r="A35" s="17" t="inlineStr">
        <is>
          <t xml:space="preserve">  Total RAB − Total TAB  (AER vs ATO asset base gap)</t>
        </is>
      </c>
      <c r="B35" s="43">
        <f>'RAB Roll-Forward'!B44-B28</f>
        <v/>
      </c>
      <c r="C35" s="43">
        <f>'RAB Roll-Forward'!C44-C28</f>
        <v/>
      </c>
      <c r="D35" s="43">
        <f>'RAB Roll-Forward'!D44-D28</f>
        <v/>
      </c>
      <c r="E35" s="43">
        <f>'RAB Roll-Forward'!E44-E28</f>
        <v/>
      </c>
      <c r="F35" s="43">
        <f>'RAB Roll-Forward'!F44-F28</f>
        <v/>
      </c>
      <c r="G35" s="43">
        <f>'RAB Roll-Forward'!G44-G28</f>
        <v/>
      </c>
      <c r="H35" s="43">
        <f>'RAB Roll-Forward'!H44-H28</f>
        <v/>
      </c>
      <c r="I35" s="43">
        <f>'RAB Roll-Forward'!I44-I28</f>
        <v/>
      </c>
      <c r="J35" s="43">
        <f>'RAB Roll-Forward'!J44-J28</f>
        <v/>
      </c>
      <c r="K35" s="43">
        <f>'RAB Roll-Forward'!K44-K28</f>
        <v/>
      </c>
      <c r="L35" s="43">
        <f>'RAB Roll-Forward'!L44-L28</f>
        <v/>
      </c>
      <c r="M35" s="43">
        <f>'RAB Roll-Forward'!M44-M28</f>
        <v/>
      </c>
      <c r="N35" s="43">
        <f>'RAB Roll-Forward'!N44-N28</f>
        <v/>
      </c>
      <c r="O35" s="43">
        <f>'RAB Roll-Forward'!O44-O28</f>
        <v/>
      </c>
      <c r="P35" s="43">
        <f>'RAB Roll-Forward'!P44-P28</f>
        <v/>
      </c>
    </row>
    <row r="37" ht="16" customHeight="1">
      <c r="A37" s="15" t="inlineStr">
        <is>
          <t>SECTION F — Deferred Tax Liability (DTL) Roll-Forward ($M)  [AASB 112 | 30% corporate rate]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>
      <c r="A38" s="17" t="inlineStr">
        <is>
          <t xml:space="preserve">  Opening DTL</t>
        </is>
      </c>
      <c r="B38" s="26" t="n">
        <v>510</v>
      </c>
      <c r="C38" s="26">
        <f>B40</f>
        <v/>
      </c>
      <c r="D38" s="26">
        <f>C40</f>
        <v/>
      </c>
      <c r="E38" s="26">
        <f>D40</f>
        <v/>
      </c>
      <c r="F38" s="26">
        <f>E40</f>
        <v/>
      </c>
      <c r="G38" s="44">
        <f>F40</f>
        <v/>
      </c>
      <c r="H38" s="44">
        <f>G40</f>
        <v/>
      </c>
      <c r="I38" s="44">
        <f>H40</f>
        <v/>
      </c>
      <c r="J38" s="44">
        <f>I40</f>
        <v/>
      </c>
      <c r="K38" s="44">
        <f>J40</f>
        <v/>
      </c>
      <c r="L38" s="44">
        <f>K40</f>
        <v/>
      </c>
      <c r="M38" s="44">
        <f>L40</f>
        <v/>
      </c>
      <c r="N38" s="44">
        <f>M40</f>
        <v/>
      </c>
      <c r="O38" s="44">
        <f>N40</f>
        <v/>
      </c>
      <c r="P38" s="44">
        <f>O40</f>
        <v/>
      </c>
    </row>
    <row r="39">
      <c r="A39" s="17" t="inlineStr">
        <is>
          <t xml:space="preserve">  + Movement: (Tax Dep − Acc Dep) × 30%  (positive = DTL grows as ATO deductions exceed accounting)</t>
        </is>
      </c>
      <c r="B39" s="26" t="n">
        <v>-39.5</v>
      </c>
      <c r="C39" s="26" t="n">
        <v>-40.6</v>
      </c>
      <c r="D39" s="26" t="n">
        <v>-41.8</v>
      </c>
      <c r="E39" s="26" t="n">
        <v>-43.1</v>
      </c>
      <c r="F39" s="26" t="n">
        <v>-44.3</v>
      </c>
      <c r="G39" s="44">
        <f>(G27-G18)*Assumptions!$B$12</f>
        <v/>
      </c>
      <c r="H39" s="44">
        <f>(H27-H18)*Assumptions!$B$12</f>
        <v/>
      </c>
      <c r="I39" s="44">
        <f>(I27-I18)*Assumptions!$B$12</f>
        <v/>
      </c>
      <c r="J39" s="44">
        <f>(J27-J18)*Assumptions!$B$12</f>
        <v/>
      </c>
      <c r="K39" s="44">
        <f>(K27-K18)*Assumptions!$B$12</f>
        <v/>
      </c>
      <c r="L39" s="44">
        <f>(L27-L18)*Assumptions!$B$12</f>
        <v/>
      </c>
      <c r="M39" s="44">
        <f>(M27-M18)*Assumptions!$B$12</f>
        <v/>
      </c>
      <c r="N39" s="44">
        <f>(N27-N18)*Assumptions!$B$12</f>
        <v/>
      </c>
      <c r="O39" s="44">
        <f>(O27-O18)*Assumptions!$B$12</f>
        <v/>
      </c>
      <c r="P39" s="44">
        <f>(P27-P18)*Assumptions!$B$12</f>
        <v/>
      </c>
    </row>
    <row r="40">
      <c r="A40" s="17" t="inlineStr">
        <is>
          <t xml:space="preserve">  = Closing DTL  →  feeds Balance Sheet deferred tax</t>
        </is>
      </c>
      <c r="B40" s="45" t="n">
        <v>470.5</v>
      </c>
      <c r="C40" s="45" t="n">
        <v>429.9</v>
      </c>
      <c r="D40" s="45" t="n">
        <v>388.1</v>
      </c>
      <c r="E40" s="45" t="n">
        <v>345</v>
      </c>
      <c r="F40" s="45" t="n">
        <v>300.7</v>
      </c>
      <c r="G40" s="42">
        <f>G38+G39</f>
        <v/>
      </c>
      <c r="H40" s="42">
        <f>H38+H39</f>
        <v/>
      </c>
      <c r="I40" s="42">
        <f>I38+I39</f>
        <v/>
      </c>
      <c r="J40" s="42">
        <f>J38+J39</f>
        <v/>
      </c>
      <c r="K40" s="42">
        <f>K38+K39</f>
        <v/>
      </c>
      <c r="L40" s="42">
        <f>L38+L39</f>
        <v/>
      </c>
      <c r="M40" s="42">
        <f>M38+M39</f>
        <v/>
      </c>
      <c r="N40" s="42">
        <f>N38+N39</f>
        <v/>
      </c>
      <c r="O40" s="42">
        <f>O38+O39</f>
        <v/>
      </c>
      <c r="P40" s="42">
        <f>P38+P39</f>
        <v/>
      </c>
    </row>
    <row r="42" ht="16" customHeight="1">
      <c r="A42" s="15" t="inlineStr">
        <is>
          <t>SECTION G — PTRM Tax Allowance Reconciliation ($M)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>
      <c r="A43" s="17" t="inlineStr">
        <is>
          <t xml:space="preserve">  Regulatory Taxable Income  (Return on RAB = Avg RAB × WACC)</t>
        </is>
      </c>
      <c r="B43" s="26" t="n">
        <v>319.5</v>
      </c>
      <c r="C43" s="26" t="n">
        <v>335.7</v>
      </c>
      <c r="D43" s="26" t="n">
        <v>353.8</v>
      </c>
      <c r="E43" s="26" t="n">
        <v>375.8</v>
      </c>
      <c r="F43" s="26" t="n">
        <v>407.4</v>
      </c>
      <c r="G43" s="44">
        <f>'RAB Roll-Forward'!G46</f>
        <v/>
      </c>
      <c r="H43" s="44">
        <f>'RAB Roll-Forward'!H46</f>
        <v/>
      </c>
      <c r="I43" s="44">
        <f>'RAB Roll-Forward'!I46</f>
        <v/>
      </c>
      <c r="J43" s="44">
        <f>'RAB Roll-Forward'!J46</f>
        <v/>
      </c>
      <c r="K43" s="44">
        <f>'RAB Roll-Forward'!K46</f>
        <v/>
      </c>
      <c r="L43" s="44">
        <f>'RAB Roll-Forward'!L46</f>
        <v/>
      </c>
      <c r="M43" s="44">
        <f>'RAB Roll-Forward'!M46</f>
        <v/>
      </c>
      <c r="N43" s="44">
        <f>'RAB Roll-Forward'!N46</f>
        <v/>
      </c>
      <c r="O43" s="44">
        <f>'RAB Roll-Forward'!O46</f>
        <v/>
      </c>
      <c r="P43" s="44">
        <f>'RAB Roll-Forward'!P46</f>
        <v/>
      </c>
    </row>
    <row r="44">
      <c r="A44" s="17" t="inlineStr">
        <is>
          <t xml:space="preserve">  Gross Tax  (× 30% corporate rate)</t>
        </is>
      </c>
      <c r="B44" s="26" t="n">
        <v>95.8</v>
      </c>
      <c r="C44" s="26" t="n">
        <v>100.7</v>
      </c>
      <c r="D44" s="26" t="n">
        <v>106.1</v>
      </c>
      <c r="E44" s="26" t="n">
        <v>112.7</v>
      </c>
      <c r="F44" s="26" t="n">
        <v>122.2</v>
      </c>
      <c r="G44" s="44">
        <f>G43*Assumptions!$B$12</f>
        <v/>
      </c>
      <c r="H44" s="44">
        <f>H43*Assumptions!$B$12</f>
        <v/>
      </c>
      <c r="I44" s="44">
        <f>I43*Assumptions!$B$12</f>
        <v/>
      </c>
      <c r="J44" s="44">
        <f>J43*Assumptions!$B$12</f>
        <v/>
      </c>
      <c r="K44" s="44">
        <f>K43*Assumptions!$B$12</f>
        <v/>
      </c>
      <c r="L44" s="44">
        <f>L43*Assumptions!$B$12</f>
        <v/>
      </c>
      <c r="M44" s="44">
        <f>M43*Assumptions!$B$12</f>
        <v/>
      </c>
      <c r="N44" s="44">
        <f>N43*Assumptions!$B$12</f>
        <v/>
      </c>
      <c r="O44" s="44">
        <f>O43*Assumptions!$B$12</f>
        <v/>
      </c>
      <c r="P44" s="44">
        <f>P43*Assumptions!$B$12</f>
        <v/>
      </c>
    </row>
    <row r="45">
      <c r="A45" s="17" t="inlineStr">
        <is>
          <t xml:space="preserve">  Less: Gamma Benefit  (× gamma × 30%)  AER imputation credit offset</t>
        </is>
      </c>
      <c r="B45" s="26" t="n">
        <v>56.1</v>
      </c>
      <c r="C45" s="26" t="n">
        <v>58.9</v>
      </c>
      <c r="D45" s="26" t="n">
        <v>62.1</v>
      </c>
      <c r="E45" s="26" t="n">
        <v>66</v>
      </c>
      <c r="F45" s="26" t="n">
        <v>71.5</v>
      </c>
      <c r="G45" s="44">
        <f>G43*Assumptions!$B$11*Assumptions!$B$12</f>
        <v/>
      </c>
      <c r="H45" s="44">
        <f>H43*Assumptions!$B$11*Assumptions!$B$12</f>
        <v/>
      </c>
      <c r="I45" s="44">
        <f>I43*Assumptions!$B$11*Assumptions!$B$12</f>
        <v/>
      </c>
      <c r="J45" s="44">
        <f>J43*Assumptions!$B$11*Assumptions!$B$12</f>
        <v/>
      </c>
      <c r="K45" s="44">
        <f>K43*Assumptions!$B$11*Assumptions!$B$12</f>
        <v/>
      </c>
      <c r="L45" s="44">
        <f>L43*Assumptions!$B$11*Assumptions!$B$12</f>
        <v/>
      </c>
      <c r="M45" s="44">
        <f>M43*Assumptions!$B$11*Assumptions!$B$12</f>
        <v/>
      </c>
      <c r="N45" s="44">
        <f>N43*Assumptions!$B$11*Assumptions!$B$12</f>
        <v/>
      </c>
      <c r="O45" s="44">
        <f>O43*Assumptions!$B$11*Assumptions!$B$12</f>
        <v/>
      </c>
      <c r="P45" s="44">
        <f>P43*Assumptions!$B$11*Assumptions!$B$12</f>
        <v/>
      </c>
    </row>
    <row r="46">
      <c r="A46" s="17" t="inlineStr">
        <is>
          <t xml:space="preserve">  Net PTRM Tax Allowance  (Gross − Gamma)</t>
        </is>
      </c>
      <c r="B46" s="45" t="n">
        <v>39.7</v>
      </c>
      <c r="C46" s="45" t="n">
        <v>41.8</v>
      </c>
      <c r="D46" s="45" t="n">
        <v>44</v>
      </c>
      <c r="E46" s="45" t="n">
        <v>46.7</v>
      </c>
      <c r="F46" s="45" t="n">
        <v>50.7</v>
      </c>
      <c r="G46" s="42">
        <f>G44-G45</f>
        <v/>
      </c>
      <c r="H46" s="42">
        <f>H44-H45</f>
        <v/>
      </c>
      <c r="I46" s="42">
        <f>I44-I45</f>
        <v/>
      </c>
      <c r="J46" s="42">
        <f>J44-J45</f>
        <v/>
      </c>
      <c r="K46" s="42">
        <f>K44-K45</f>
        <v/>
      </c>
      <c r="L46" s="42">
        <f>L44-L45</f>
        <v/>
      </c>
      <c r="M46" s="42">
        <f>M44-M45</f>
        <v/>
      </c>
      <c r="N46" s="42">
        <f>N44-N45</f>
        <v/>
      </c>
      <c r="O46" s="42">
        <f>O44-O45</f>
        <v/>
      </c>
      <c r="P46" s="42">
        <f>P44-P45</f>
        <v/>
      </c>
    </row>
    <row r="47">
      <c r="A47" s="17" t="inlineStr">
        <is>
          <t xml:space="preserve">  Cross-Check vs PTRM tab  (= 0 if matched)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64">
        <f>G46-PTRM!G8</f>
        <v/>
      </c>
      <c r="H47" s="64">
        <f>H46-PTRM!H8</f>
        <v/>
      </c>
      <c r="I47" s="64">
        <f>I46-PTRM!I8</f>
        <v/>
      </c>
      <c r="J47" s="64">
        <f>J46-PTRM!J8</f>
        <v/>
      </c>
      <c r="K47" s="64">
        <f>K46-PTRM!K8</f>
        <v/>
      </c>
      <c r="L47" s="64">
        <f>L46-PTRM!L8</f>
        <v/>
      </c>
      <c r="M47" s="64">
        <f>M46-PTRM!M8</f>
        <v/>
      </c>
      <c r="N47" s="64">
        <f>N46-PTRM!N8</f>
        <v/>
      </c>
      <c r="O47" s="64">
        <f>O46-PTRM!O8</f>
        <v/>
      </c>
      <c r="P47" s="64">
        <f>P46-PTRM!P8</f>
        <v/>
      </c>
    </row>
  </sheetData>
  <mergeCells count="1">
    <mergeCell ref="A1:P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Q2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5" t="inlineStr">
        <is>
          <t>STRATEGIC INITIATIVES — Revenue Growth &amp; Cost Reduction Pipeline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66" t="inlineStr">
        <is>
          <t>REVENUE ENHANCEMENT ($M — annual benefit)</t>
        </is>
      </c>
      <c r="B4" s="67" t="n"/>
      <c r="C4" s="67" t="n"/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</row>
    <row r="5">
      <c r="A5" s="17" t="inlineStr">
        <is>
          <t xml:space="preserve">  Ancillary Services &amp; FCAS Revenue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44" t="n">
        <v>0</v>
      </c>
      <c r="H5" s="44" t="n">
        <v>3</v>
      </c>
      <c r="I5" s="44" t="n">
        <v>5</v>
      </c>
      <c r="J5" s="44" t="n">
        <v>6</v>
      </c>
      <c r="K5" s="44" t="n">
        <v>7</v>
      </c>
      <c r="L5" s="44" t="n">
        <v>8</v>
      </c>
      <c r="M5" s="44" t="n">
        <v>8</v>
      </c>
      <c r="N5" s="44" t="n">
        <v>8</v>
      </c>
      <c r="O5" s="44" t="n">
        <v>9</v>
      </c>
      <c r="P5" s="44" t="n">
        <v>9</v>
      </c>
    </row>
    <row r="6">
      <c r="A6" s="17" t="inlineStr">
        <is>
          <t xml:space="preserve">  New Connection Pipeline (beyond P004/P007)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44" t="n">
        <v>0</v>
      </c>
      <c r="H6" s="44" t="n">
        <v>0</v>
      </c>
      <c r="I6" s="44" t="n">
        <v>2</v>
      </c>
      <c r="J6" s="44" t="n">
        <v>3</v>
      </c>
      <c r="K6" s="44" t="n">
        <v>4</v>
      </c>
      <c r="L6" s="44" t="n">
        <v>4</v>
      </c>
      <c r="M6" s="44" t="n">
        <v>5</v>
      </c>
      <c r="N6" s="44" t="n">
        <v>5</v>
      </c>
      <c r="O6" s="44" t="n">
        <v>5</v>
      </c>
      <c r="P6" s="44" t="n">
        <v>6</v>
      </c>
    </row>
    <row r="7">
      <c r="A7" s="17" t="inlineStr">
        <is>
          <t xml:space="preserve">  Tariff Structure &amp; Access Review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44" t="n">
        <v>0</v>
      </c>
      <c r="H7" s="44" t="n">
        <v>0</v>
      </c>
      <c r="I7" s="44" t="n">
        <v>0</v>
      </c>
      <c r="J7" s="44" t="n">
        <v>4</v>
      </c>
      <c r="K7" s="44" t="n">
        <v>5</v>
      </c>
      <c r="L7" s="44" t="n">
        <v>5</v>
      </c>
      <c r="M7" s="44" t="n">
        <v>5</v>
      </c>
      <c r="N7" s="44" t="n">
        <v>6</v>
      </c>
      <c r="O7" s="44" t="n">
        <v>6</v>
      </c>
      <c r="P7" s="44" t="n">
        <v>6</v>
      </c>
    </row>
    <row r="8">
      <c r="A8" s="17" t="inlineStr">
        <is>
          <t xml:space="preserve">  TOTAL REV INITIATIVES</t>
        </is>
      </c>
      <c r="B8" s="42">
        <f>B5+B6+B7</f>
        <v/>
      </c>
      <c r="C8" s="42">
        <f>C5+C6+C7</f>
        <v/>
      </c>
      <c r="D8" s="42">
        <f>D5+D6+D7</f>
        <v/>
      </c>
      <c r="E8" s="42">
        <f>E5+E6+E7</f>
        <v/>
      </c>
      <c r="F8" s="42">
        <f>F5+F6+F7</f>
        <v/>
      </c>
      <c r="G8" s="42">
        <f>G5+G6+G7</f>
        <v/>
      </c>
      <c r="H8" s="42">
        <f>H5+H6+H7</f>
        <v/>
      </c>
      <c r="I8" s="42">
        <f>I5+I6+I7</f>
        <v/>
      </c>
      <c r="J8" s="42">
        <f>J5+J6+J7</f>
        <v/>
      </c>
      <c r="K8" s="42">
        <f>K5+K6+K7</f>
        <v/>
      </c>
      <c r="L8" s="42">
        <f>L5+L6+L7</f>
        <v/>
      </c>
      <c r="M8" s="42">
        <f>M5+M6+M7</f>
        <v/>
      </c>
      <c r="N8" s="42">
        <f>N5+N6+N7</f>
        <v/>
      </c>
      <c r="O8" s="42">
        <f>O5+O6+O7</f>
        <v/>
      </c>
      <c r="P8" s="42">
        <f>P5+P6+P7</f>
        <v/>
      </c>
    </row>
    <row r="9">
      <c r="A9" s="54" t="inlineStr">
        <is>
          <t xml:space="preserve">  → Added to IS Revenue (above base MAR)</t>
        </is>
      </c>
    </row>
    <row r="10">
      <c r="A10" s="66" t="inlineStr">
        <is>
          <t>OPEX REDUCTION INITIATIVES ($M — annual saving)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</row>
    <row r="11">
      <c r="A11" s="17" t="inlineStr">
        <is>
          <t xml:space="preserve">  Procurement &amp; Supply Chain Savings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44" t="n">
        <v>0</v>
      </c>
      <c r="H11" s="44" t="n">
        <v>2</v>
      </c>
      <c r="I11" s="44" t="n">
        <v>3</v>
      </c>
      <c r="J11" s="44" t="n">
        <v>4</v>
      </c>
      <c r="K11" s="44" t="n">
        <v>5</v>
      </c>
      <c r="L11" s="44" t="n">
        <v>6</v>
      </c>
      <c r="M11" s="44" t="n">
        <v>6</v>
      </c>
      <c r="N11" s="44" t="n">
        <v>7</v>
      </c>
      <c r="O11" s="44" t="n">
        <v>7</v>
      </c>
      <c r="P11" s="44" t="n">
        <v>7</v>
      </c>
    </row>
    <row r="12">
      <c r="A12" s="17" t="inlineStr">
        <is>
          <t xml:space="preserve">  Digital Automation &amp; Predictive Maintenance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44" t="n">
        <v>0</v>
      </c>
      <c r="H12" s="44" t="n">
        <v>0</v>
      </c>
      <c r="I12" s="44" t="n">
        <v>1</v>
      </c>
      <c r="J12" s="44" t="n">
        <v>2</v>
      </c>
      <c r="K12" s="44" t="n">
        <v>3</v>
      </c>
      <c r="L12" s="44" t="n">
        <v>3</v>
      </c>
      <c r="M12" s="44" t="n">
        <v>4</v>
      </c>
      <c r="N12" s="44" t="n">
        <v>4</v>
      </c>
      <c r="O12" s="44" t="n">
        <v>5</v>
      </c>
      <c r="P12" s="44" t="n">
        <v>5</v>
      </c>
    </row>
    <row r="13">
      <c r="A13" s="17" t="inlineStr">
        <is>
          <t xml:space="preserve">  Energy Efficiency &amp; Fleet Electrification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44" t="n">
        <v>0</v>
      </c>
      <c r="H13" s="44" t="n">
        <v>1</v>
      </c>
      <c r="I13" s="44" t="n">
        <v>1</v>
      </c>
      <c r="J13" s="44" t="n">
        <v>2</v>
      </c>
      <c r="K13" s="44" t="n">
        <v>2</v>
      </c>
      <c r="L13" s="44" t="n">
        <v>2</v>
      </c>
      <c r="M13" s="44" t="n">
        <v>2</v>
      </c>
      <c r="N13" s="44" t="n">
        <v>2</v>
      </c>
      <c r="O13" s="44" t="n">
        <v>2</v>
      </c>
      <c r="P13" s="44" t="n">
        <v>2</v>
      </c>
    </row>
    <row r="14">
      <c r="A14" s="17" t="inlineStr">
        <is>
          <t xml:space="preserve">  TOTAL OPEX INITIATIVES</t>
        </is>
      </c>
      <c r="B14" s="42">
        <f>B11+B12+B13</f>
        <v/>
      </c>
      <c r="C14" s="42">
        <f>C11+C12+C13</f>
        <v/>
      </c>
      <c r="D14" s="42">
        <f>D11+D12+D13</f>
        <v/>
      </c>
      <c r="E14" s="42">
        <f>E11+E12+E13</f>
        <v/>
      </c>
      <c r="F14" s="42">
        <f>F11+F12+F13</f>
        <v/>
      </c>
      <c r="G14" s="42">
        <f>G11+G12+G13</f>
        <v/>
      </c>
      <c r="H14" s="42">
        <f>H11+H12+H13</f>
        <v/>
      </c>
      <c r="I14" s="42">
        <f>I11+I12+I13</f>
        <v/>
      </c>
      <c r="J14" s="42">
        <f>J11+J12+J13</f>
        <v/>
      </c>
      <c r="K14" s="42">
        <f>K11+K12+K13</f>
        <v/>
      </c>
      <c r="L14" s="42">
        <f>L11+L12+L13</f>
        <v/>
      </c>
      <c r="M14" s="42">
        <f>M11+M12+M13</f>
        <v/>
      </c>
      <c r="N14" s="42">
        <f>N11+N12+N13</f>
        <v/>
      </c>
      <c r="O14" s="42">
        <f>O11+O12+O13</f>
        <v/>
      </c>
      <c r="P14" s="42">
        <f>P11+P12+P13</f>
        <v/>
      </c>
    </row>
    <row r="15">
      <c r="A15" s="54" t="inlineStr">
        <is>
          <t xml:space="preserve">  → Reduces IS Total Opex</t>
        </is>
      </c>
    </row>
    <row r="16">
      <c r="A16" s="66" t="inlineStr">
        <is>
          <t>FINANCE COST REDUCTION ($M — annual saving)</t>
        </is>
      </c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</row>
    <row r="17">
      <c r="A17" s="17" t="inlineStr">
        <is>
          <t xml:space="preserve">  Debt Refinancing — Lower Benchmark Rate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44" t="n">
        <v>0</v>
      </c>
      <c r="H17" s="44" t="n">
        <v>4</v>
      </c>
      <c r="I17" s="44" t="n">
        <v>5</v>
      </c>
      <c r="J17" s="44" t="n">
        <v>6</v>
      </c>
      <c r="K17" s="44" t="n">
        <v>7</v>
      </c>
      <c r="L17" s="44" t="n">
        <v>8</v>
      </c>
      <c r="M17" s="44" t="n">
        <v>8</v>
      </c>
      <c r="N17" s="44" t="n">
        <v>9</v>
      </c>
      <c r="O17" s="44" t="n">
        <v>9</v>
      </c>
      <c r="P17" s="44" t="n">
        <v>10</v>
      </c>
    </row>
    <row r="18">
      <c r="A18" s="17" t="inlineStr">
        <is>
          <t xml:space="preserve">  Interest Rate Hedging Programme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44" t="n">
        <v>0</v>
      </c>
      <c r="H18" s="44" t="n">
        <v>0</v>
      </c>
      <c r="I18" s="44" t="n">
        <v>2</v>
      </c>
      <c r="J18" s="44" t="n">
        <v>2</v>
      </c>
      <c r="K18" s="44" t="n">
        <v>3</v>
      </c>
      <c r="L18" s="44" t="n">
        <v>3</v>
      </c>
      <c r="M18" s="44" t="n">
        <v>3</v>
      </c>
      <c r="N18" s="44" t="n">
        <v>3</v>
      </c>
      <c r="O18" s="44" t="n">
        <v>3</v>
      </c>
      <c r="P18" s="44" t="n">
        <v>3</v>
      </c>
    </row>
    <row r="19">
      <c r="A19" s="17" t="inlineStr">
        <is>
          <t xml:space="preserve">  TOTAL FIN INITIATIVES</t>
        </is>
      </c>
      <c r="B19" s="42">
        <f>B17+B18</f>
        <v/>
      </c>
      <c r="C19" s="42">
        <f>C17+C18</f>
        <v/>
      </c>
      <c r="D19" s="42">
        <f>D17+D18</f>
        <v/>
      </c>
      <c r="E19" s="42">
        <f>E17+E18</f>
        <v/>
      </c>
      <c r="F19" s="42">
        <f>F17+F18</f>
        <v/>
      </c>
      <c r="G19" s="42">
        <f>G17+G18</f>
        <v/>
      </c>
      <c r="H19" s="42">
        <f>H17+H18</f>
        <v/>
      </c>
      <c r="I19" s="42">
        <f>I17+I18</f>
        <v/>
      </c>
      <c r="J19" s="42">
        <f>J17+J18</f>
        <v/>
      </c>
      <c r="K19" s="42">
        <f>K17+K18</f>
        <v/>
      </c>
      <c r="L19" s="42">
        <f>L17+L18</f>
        <v/>
      </c>
      <c r="M19" s="42">
        <f>M17+M18</f>
        <v/>
      </c>
      <c r="N19" s="42">
        <f>N17+N18</f>
        <v/>
      </c>
      <c r="O19" s="42">
        <f>O17+O18</f>
        <v/>
      </c>
      <c r="P19" s="42">
        <f>P17+P18</f>
        <v/>
      </c>
    </row>
    <row r="20">
      <c r="A20" s="54" t="inlineStr">
        <is>
          <t xml:space="preserve">  → Reduces IS Interest Expense</t>
        </is>
      </c>
    </row>
    <row r="21">
      <c r="A21" s="66" t="inlineStr">
        <is>
          <t>DEPRECIATION REDUCTION ($M — annual saving)</t>
        </is>
      </c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</row>
    <row r="22">
      <c r="A22" s="17" t="inlineStr">
        <is>
          <t xml:space="preserve">  Asset Life Extension Review (regulatory approved)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44" t="n">
        <v>0</v>
      </c>
      <c r="H22" s="44" t="n">
        <v>3</v>
      </c>
      <c r="I22" s="44" t="n">
        <v>4</v>
      </c>
      <c r="J22" s="44" t="n">
        <v>5</v>
      </c>
      <c r="K22" s="44" t="n">
        <v>5</v>
      </c>
      <c r="L22" s="44" t="n">
        <v>5</v>
      </c>
      <c r="M22" s="44" t="n">
        <v>5</v>
      </c>
      <c r="N22" s="44" t="n">
        <v>6</v>
      </c>
      <c r="O22" s="44" t="n">
        <v>6</v>
      </c>
      <c r="P22" s="44" t="n">
        <v>6</v>
      </c>
    </row>
    <row r="23">
      <c r="A23" s="17" t="inlineStr">
        <is>
          <t xml:space="preserve">  Targeted Asset Disposal &amp; Write-Off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44" t="n">
        <v>0</v>
      </c>
      <c r="H23" s="44" t="n">
        <v>0</v>
      </c>
      <c r="I23" s="44" t="n">
        <v>2</v>
      </c>
      <c r="J23" s="44" t="n">
        <v>2</v>
      </c>
      <c r="K23" s="44" t="n">
        <v>2</v>
      </c>
      <c r="L23" s="44" t="n">
        <v>2</v>
      </c>
      <c r="M23" s="44" t="n">
        <v>2</v>
      </c>
      <c r="N23" s="44" t="n">
        <v>2</v>
      </c>
      <c r="O23" s="44" t="n">
        <v>2</v>
      </c>
      <c r="P23" s="44" t="n">
        <v>2</v>
      </c>
    </row>
    <row r="24">
      <c r="A24" s="17" t="inlineStr">
        <is>
          <t xml:space="preserve">  TOTAL DEP INITIATIVES</t>
        </is>
      </c>
      <c r="B24" s="42">
        <f>B22+B23</f>
        <v/>
      </c>
      <c r="C24" s="42">
        <f>C22+C23</f>
        <v/>
      </c>
      <c r="D24" s="42">
        <f>D22+D23</f>
        <v/>
      </c>
      <c r="E24" s="42">
        <f>E22+E23</f>
        <v/>
      </c>
      <c r="F24" s="42">
        <f>F22+F23</f>
        <v/>
      </c>
      <c r="G24" s="42">
        <f>G22+G23</f>
        <v/>
      </c>
      <c r="H24" s="42">
        <f>H22+H23</f>
        <v/>
      </c>
      <c r="I24" s="42">
        <f>I22+I23</f>
        <v/>
      </c>
      <c r="J24" s="42">
        <f>J22+J23</f>
        <v/>
      </c>
      <c r="K24" s="42">
        <f>K22+K23</f>
        <v/>
      </c>
      <c r="L24" s="42">
        <f>L22+L23</f>
        <v/>
      </c>
      <c r="M24" s="42">
        <f>M22+M23</f>
        <v/>
      </c>
      <c r="N24" s="42">
        <f>N22+N23</f>
        <v/>
      </c>
      <c r="O24" s="42">
        <f>O22+O23</f>
        <v/>
      </c>
      <c r="P24" s="42">
        <f>P22+P23</f>
        <v/>
      </c>
    </row>
    <row r="25">
      <c r="A25" s="54" t="inlineStr">
        <is>
          <t xml:space="preserve">  → Reduces IS D&amp;A Charge</t>
        </is>
      </c>
    </row>
    <row r="26" ht="16" customHeight="1">
      <c r="A26" s="15" t="inlineStr">
        <is>
          <t>NET INITIATIVE VALUE — ANNUAL IMPACT ON NET INCOME ($M)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>
      <c r="A27" s="17" t="inlineStr">
        <is>
          <t xml:space="preserve">  Net Annual Value (Rev + Opex + Finance + D&amp;A savings, pre-tax)</t>
        </is>
      </c>
      <c r="B27" s="42">
        <f>B8+B14+B19+B24</f>
        <v/>
      </c>
      <c r="C27" s="42">
        <f>C8+C14+C19+C24</f>
        <v/>
      </c>
      <c r="D27" s="42">
        <f>D8+D14+D19+D24</f>
        <v/>
      </c>
      <c r="E27" s="42">
        <f>E8+E14+E19+E24</f>
        <v/>
      </c>
      <c r="F27" s="42">
        <f>F8+F14+F19+F24</f>
        <v/>
      </c>
      <c r="G27" s="42">
        <f>G8+G14+G19+G24</f>
        <v/>
      </c>
      <c r="H27" s="42">
        <f>H8+H14+H19+H24</f>
        <v/>
      </c>
      <c r="I27" s="42">
        <f>I8+I14+I19+I24</f>
        <v/>
      </c>
      <c r="J27" s="42">
        <f>J8+J14+J19+J24</f>
        <v/>
      </c>
      <c r="K27" s="42">
        <f>K8+K14+K19+K24</f>
        <v/>
      </c>
      <c r="L27" s="42">
        <f>L8+L14+L19+L24</f>
        <v/>
      </c>
      <c r="M27" s="42">
        <f>M8+M14+M19+M24</f>
        <v/>
      </c>
      <c r="N27" s="42">
        <f>N8+N14+N19+N24</f>
        <v/>
      </c>
      <c r="O27" s="42">
        <f>O8+O14+O19+O24</f>
        <v/>
      </c>
      <c r="P27" s="42">
        <f>P8+P14+P19+P24</f>
        <v/>
      </c>
    </row>
  </sheetData>
  <mergeCells count="1">
    <mergeCell ref="A1:P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Q3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INCOME STATEMENT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Revenue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Revenue</t>
        </is>
      </c>
      <c r="B5" s="26" t="n">
        <v>597</v>
      </c>
      <c r="C5" s="26" t="n">
        <v>622.5</v>
      </c>
      <c r="D5" s="26" t="n">
        <v>659</v>
      </c>
      <c r="E5" s="26" t="n">
        <v>679.5</v>
      </c>
      <c r="F5" s="26" t="n">
        <v>723</v>
      </c>
      <c r="G5" s="44">
        <f>PTRM!G9-G6+Initiatives!G8</f>
        <v/>
      </c>
      <c r="H5" s="44">
        <f>PTRM!H9-H6+Initiatives!H8</f>
        <v/>
      </c>
      <c r="I5" s="44">
        <f>PTRM!I9-I6+Initiatives!I8</f>
        <v/>
      </c>
      <c r="J5" s="44">
        <f>PTRM!J9-J6+Initiatives!J8</f>
        <v/>
      </c>
      <c r="K5" s="44">
        <f>PTRM!K9-K6+Initiatives!K8</f>
        <v/>
      </c>
      <c r="L5" s="44">
        <f>PTRM!L9-L6+Initiatives!L8</f>
        <v/>
      </c>
      <c r="M5" s="44">
        <f>PTRM!M9-M6+Initiatives!M8</f>
        <v/>
      </c>
      <c r="N5" s="44">
        <f>PTRM!N9-N6+Initiatives!N8</f>
        <v/>
      </c>
      <c r="O5" s="44">
        <f>PTRM!O9-O6+Initiatives!O8</f>
        <v/>
      </c>
      <c r="P5" s="44">
        <f>PTRM!P9-P6+Initiatives!P8</f>
        <v/>
      </c>
    </row>
    <row r="6">
      <c r="A6" s="17" t="inlineStr">
        <is>
          <t xml:space="preserve">  Connection &amp; Access Fees</t>
        </is>
      </c>
      <c r="B6" s="26" t="n">
        <v>6</v>
      </c>
      <c r="C6" s="26" t="n">
        <v>6.5</v>
      </c>
      <c r="D6" s="26" t="n">
        <v>7</v>
      </c>
      <c r="E6" s="26" t="n">
        <v>7.5</v>
      </c>
      <c r="F6" s="26" t="n">
        <v>8</v>
      </c>
      <c r="G6" s="44">
        <f>Assumptions!G20</f>
        <v/>
      </c>
      <c r="H6" s="44">
        <f>Assumptions!H20</f>
        <v/>
      </c>
      <c r="I6" s="44">
        <f>Assumptions!I20</f>
        <v/>
      </c>
      <c r="J6" s="44">
        <f>Assumptions!J20</f>
        <v/>
      </c>
      <c r="K6" s="44">
        <f>Assumptions!K20</f>
        <v/>
      </c>
      <c r="L6" s="44">
        <f>Assumptions!L20</f>
        <v/>
      </c>
      <c r="M6" s="44">
        <f>Assumptions!M20</f>
        <v/>
      </c>
      <c r="N6" s="44">
        <f>Assumptions!N20</f>
        <v/>
      </c>
      <c r="O6" s="44">
        <f>Assumptions!O20</f>
        <v/>
      </c>
      <c r="P6" s="44">
        <f>Assumptions!P20</f>
        <v/>
      </c>
    </row>
    <row r="7">
      <c r="A7" s="17" t="inlineStr">
        <is>
          <t xml:space="preserve">  Total Revenue</t>
        </is>
      </c>
      <c r="B7" s="45" t="n">
        <v>603</v>
      </c>
      <c r="C7" s="45" t="n">
        <v>629</v>
      </c>
      <c r="D7" s="45" t="n">
        <v>666</v>
      </c>
      <c r="E7" s="45" t="n">
        <v>687</v>
      </c>
      <c r="F7" s="45" t="n">
        <v>731</v>
      </c>
      <c r="G7" s="43">
        <f>PTRM!G9+Initiatives!G8</f>
        <v/>
      </c>
      <c r="H7" s="43">
        <f>PTRM!H9+Initiatives!H8</f>
        <v/>
      </c>
      <c r="I7" s="43">
        <f>PTRM!I9+Initiatives!I8</f>
        <v/>
      </c>
      <c r="J7" s="43">
        <f>PTRM!J9+Initiatives!J8</f>
        <v/>
      </c>
      <c r="K7" s="43">
        <f>PTRM!K9+Initiatives!K8</f>
        <v/>
      </c>
      <c r="L7" s="43">
        <f>PTRM!L9+Initiatives!L8</f>
        <v/>
      </c>
      <c r="M7" s="43">
        <f>PTRM!M9+Initiatives!M8</f>
        <v/>
      </c>
      <c r="N7" s="43">
        <f>PTRM!N9+Initiatives!N8</f>
        <v/>
      </c>
      <c r="O7" s="43">
        <f>PTRM!O9+Initiatives!O8</f>
        <v/>
      </c>
      <c r="P7" s="43">
        <f>PTRM!P9+Initiatives!P8</f>
        <v/>
      </c>
    </row>
    <row r="9" ht="16" customHeight="1">
      <c r="A9" s="15" t="inlineStr">
        <is>
          <t>Operating Expenditure ($M)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Network O&amp;M</t>
        </is>
      </c>
      <c r="B10" s="26" t="n">
        <v>89</v>
      </c>
      <c r="C10" s="26" t="n">
        <v>92</v>
      </c>
      <c r="D10" s="26" t="n">
        <v>95</v>
      </c>
      <c r="E10" s="26" t="n">
        <v>97</v>
      </c>
      <c r="F10" s="26" t="n">
        <v>100</v>
      </c>
      <c r="G10" s="44">
        <f>REFM!G5</f>
        <v/>
      </c>
      <c r="H10" s="44">
        <f>REFM!H5</f>
        <v/>
      </c>
      <c r="I10" s="44">
        <f>REFM!I5</f>
        <v/>
      </c>
      <c r="J10" s="44">
        <f>REFM!J5</f>
        <v/>
      </c>
      <c r="K10" s="44">
        <f>REFM!K5</f>
        <v/>
      </c>
      <c r="L10" s="44">
        <f>REFM!L5</f>
        <v/>
      </c>
      <c r="M10" s="44">
        <f>REFM!M5</f>
        <v/>
      </c>
      <c r="N10" s="44">
        <f>REFM!N5</f>
        <v/>
      </c>
      <c r="O10" s="44">
        <f>REFM!O5</f>
        <v/>
      </c>
      <c r="P10" s="44">
        <f>REFM!P5</f>
        <v/>
      </c>
    </row>
    <row r="11">
      <c r="A11" s="17" t="inlineStr">
        <is>
          <t xml:space="preserve">  Corporate</t>
        </is>
      </c>
      <c r="B11" s="26" t="n">
        <v>52</v>
      </c>
      <c r="C11" s="26" t="n">
        <v>53</v>
      </c>
      <c r="D11" s="26" t="n">
        <v>54</v>
      </c>
      <c r="E11" s="26" t="n">
        <v>56</v>
      </c>
      <c r="F11" s="26" t="n">
        <v>57</v>
      </c>
      <c r="G11" s="44">
        <f>REFM!G6</f>
        <v/>
      </c>
      <c r="H11" s="44">
        <f>REFM!H6</f>
        <v/>
      </c>
      <c r="I11" s="44">
        <f>REFM!I6</f>
        <v/>
      </c>
      <c r="J11" s="44">
        <f>REFM!J6</f>
        <v/>
      </c>
      <c r="K11" s="44">
        <f>REFM!K6</f>
        <v/>
      </c>
      <c r="L11" s="44">
        <f>REFM!L6</f>
        <v/>
      </c>
      <c r="M11" s="44">
        <f>REFM!M6</f>
        <v/>
      </c>
      <c r="N11" s="44">
        <f>REFM!N6</f>
        <v/>
      </c>
      <c r="O11" s="44">
        <f>REFM!O6</f>
        <v/>
      </c>
      <c r="P11" s="44">
        <f>REFM!P6</f>
        <v/>
      </c>
    </row>
    <row r="12">
      <c r="A12" s="17" t="inlineStr">
        <is>
          <t xml:space="preserve">  Insurance</t>
        </is>
      </c>
      <c r="B12" s="26" t="n">
        <v>18</v>
      </c>
      <c r="C12" s="26" t="n">
        <v>18</v>
      </c>
      <c r="D12" s="26" t="n">
        <v>18</v>
      </c>
      <c r="E12" s="26" t="n">
        <v>19</v>
      </c>
      <c r="F12" s="26" t="n">
        <v>19</v>
      </c>
      <c r="G12" s="44">
        <f>REFM!G7</f>
        <v/>
      </c>
      <c r="H12" s="44">
        <f>REFM!H7</f>
        <v/>
      </c>
      <c r="I12" s="44">
        <f>REFM!I7</f>
        <v/>
      </c>
      <c r="J12" s="44">
        <f>REFM!J7</f>
        <v/>
      </c>
      <c r="K12" s="44">
        <f>REFM!K7</f>
        <v/>
      </c>
      <c r="L12" s="44">
        <f>REFM!L7</f>
        <v/>
      </c>
      <c r="M12" s="44">
        <f>REFM!M7</f>
        <v/>
      </c>
      <c r="N12" s="44">
        <f>REFM!N7</f>
        <v/>
      </c>
      <c r="O12" s="44">
        <f>REFM!O7</f>
        <v/>
      </c>
      <c r="P12" s="44">
        <f>REFM!P7</f>
        <v/>
      </c>
    </row>
    <row r="13">
      <c r="A13" s="17" t="inlineStr">
        <is>
          <t xml:space="preserve">  Regulatory</t>
        </is>
      </c>
      <c r="B13" s="26" t="n">
        <v>9</v>
      </c>
      <c r="C13" s="26" t="n">
        <v>9</v>
      </c>
      <c r="D13" s="26" t="n">
        <v>9</v>
      </c>
      <c r="E13" s="26" t="n">
        <v>9</v>
      </c>
      <c r="F13" s="26" t="n">
        <v>9</v>
      </c>
      <c r="G13" s="44">
        <f>REFM!G8</f>
        <v/>
      </c>
      <c r="H13" s="44">
        <f>REFM!H8</f>
        <v/>
      </c>
      <c r="I13" s="44">
        <f>REFM!I8</f>
        <v/>
      </c>
      <c r="J13" s="44">
        <f>REFM!J8</f>
        <v/>
      </c>
      <c r="K13" s="44">
        <f>REFM!K8</f>
        <v/>
      </c>
      <c r="L13" s="44">
        <f>REFM!L8</f>
        <v/>
      </c>
      <c r="M13" s="44">
        <f>REFM!M8</f>
        <v/>
      </c>
      <c r="N13" s="44">
        <f>REFM!N8</f>
        <v/>
      </c>
      <c r="O13" s="44">
        <f>REFM!O8</f>
        <v/>
      </c>
      <c r="P13" s="44">
        <f>REFM!P8</f>
        <v/>
      </c>
    </row>
    <row r="14">
      <c r="A14" s="17" t="inlineStr">
        <is>
          <t xml:space="preserve">  Total Opex</t>
        </is>
      </c>
      <c r="B14" s="45" t="n">
        <v>168</v>
      </c>
      <c r="C14" s="45" t="n">
        <v>172</v>
      </c>
      <c r="D14" s="45" t="n">
        <v>176</v>
      </c>
      <c r="E14" s="45" t="n">
        <v>181</v>
      </c>
      <c r="F14" s="45" t="n">
        <v>185</v>
      </c>
      <c r="G14" s="43">
        <f>SUM(G10:G13)-Initiatives!G14</f>
        <v/>
      </c>
      <c r="H14" s="43">
        <f>SUM(H10:H13)-Initiatives!H14</f>
        <v/>
      </c>
      <c r="I14" s="43">
        <f>SUM(I10:I13)-Initiatives!I14</f>
        <v/>
      </c>
      <c r="J14" s="43">
        <f>SUM(J10:J13)-Initiatives!J14</f>
        <v/>
      </c>
      <c r="K14" s="43">
        <f>SUM(K10:K13)-Initiatives!K14</f>
        <v/>
      </c>
      <c r="L14" s="43">
        <f>SUM(L10:L13)-Initiatives!L14</f>
        <v/>
      </c>
      <c r="M14" s="43">
        <f>SUM(M10:M13)-Initiatives!M14</f>
        <v/>
      </c>
      <c r="N14" s="43">
        <f>SUM(N10:N13)-Initiatives!N14</f>
        <v/>
      </c>
      <c r="O14" s="43">
        <f>SUM(O10:O13)-Initiatives!O14</f>
        <v/>
      </c>
      <c r="P14" s="43">
        <f>SUM(P10:P13)-Initiatives!P14</f>
        <v/>
      </c>
    </row>
    <row r="16">
      <c r="A16" s="17" t="inlineStr">
        <is>
          <t>EBITDA</t>
        </is>
      </c>
      <c r="B16" s="45" t="n">
        <v>435</v>
      </c>
      <c r="C16" s="45" t="n">
        <v>457</v>
      </c>
      <c r="D16" s="45" t="n">
        <v>490</v>
      </c>
      <c r="E16" s="45" t="n">
        <v>506</v>
      </c>
      <c r="F16" s="45" t="n">
        <v>546</v>
      </c>
      <c r="G16" s="42">
        <f>G7-G14</f>
        <v/>
      </c>
      <c r="H16" s="42">
        <f>H7-H14</f>
        <v/>
      </c>
      <c r="I16" s="42">
        <f>I7-I14</f>
        <v/>
      </c>
      <c r="J16" s="42">
        <f>J7-J14</f>
        <v/>
      </c>
      <c r="K16" s="42">
        <f>K7-K14</f>
        <v/>
      </c>
      <c r="L16" s="42">
        <f>L7-L14</f>
        <v/>
      </c>
      <c r="M16" s="42">
        <f>M7-M14</f>
        <v/>
      </c>
      <c r="N16" s="42">
        <f>N7-N14</f>
        <v/>
      </c>
      <c r="O16" s="42">
        <f>O7-O14</f>
        <v/>
      </c>
      <c r="P16" s="42">
        <f>P7-P14</f>
        <v/>
      </c>
    </row>
    <row r="18">
      <c r="A18" s="17" t="inlineStr">
        <is>
          <t xml:space="preserve">  Depreciation &amp; Amortisation</t>
        </is>
      </c>
      <c r="B18" s="26" t="n">
        <v>230.9</v>
      </c>
      <c r="C18" s="26" t="n">
        <v>239.6</v>
      </c>
      <c r="D18" s="26" t="n">
        <v>249</v>
      </c>
      <c r="E18" s="26" t="n">
        <v>259.1</v>
      </c>
      <c r="F18" s="26" t="n">
        <v>270</v>
      </c>
      <c r="G18" s="44">
        <f>'Fixed Assets'!G50-Initiatives!G24</f>
        <v/>
      </c>
      <c r="H18" s="44">
        <f>'Fixed Assets'!H50-Initiatives!H24</f>
        <v/>
      </c>
      <c r="I18" s="44">
        <f>'Fixed Assets'!I50-Initiatives!I24</f>
        <v/>
      </c>
      <c r="J18" s="44">
        <f>'Fixed Assets'!J50-Initiatives!J24</f>
        <v/>
      </c>
      <c r="K18" s="44">
        <f>'Fixed Assets'!K50-Initiatives!K24</f>
        <v/>
      </c>
      <c r="L18" s="44">
        <f>'Fixed Assets'!L50-Initiatives!L24</f>
        <v/>
      </c>
      <c r="M18" s="44">
        <f>'Fixed Assets'!M50-Initiatives!M24</f>
        <v/>
      </c>
      <c r="N18" s="44">
        <f>'Fixed Assets'!N50-Initiatives!N24</f>
        <v/>
      </c>
      <c r="O18" s="44">
        <f>'Fixed Assets'!O50-Initiatives!O24</f>
        <v/>
      </c>
      <c r="P18" s="44">
        <f>'Fixed Assets'!P50-Initiatives!P24</f>
        <v/>
      </c>
    </row>
    <row r="20">
      <c r="A20" s="17" t="inlineStr">
        <is>
          <t>EBIT</t>
        </is>
      </c>
      <c r="B20" s="45" t="n">
        <v>204.1</v>
      </c>
      <c r="C20" s="45" t="n">
        <v>217.4</v>
      </c>
      <c r="D20" s="45" t="n">
        <v>241</v>
      </c>
      <c r="E20" s="45" t="n">
        <v>246.9</v>
      </c>
      <c r="F20" s="45" t="n">
        <v>276</v>
      </c>
      <c r="G20" s="42">
        <f>G16-G18</f>
        <v/>
      </c>
      <c r="H20" s="42">
        <f>H16-H18</f>
        <v/>
      </c>
      <c r="I20" s="42">
        <f>I16-I18</f>
        <v/>
      </c>
      <c r="J20" s="42">
        <f>J16-J18</f>
        <v/>
      </c>
      <c r="K20" s="42">
        <f>K16-K18</f>
        <v/>
      </c>
      <c r="L20" s="42">
        <f>L16-L18</f>
        <v/>
      </c>
      <c r="M20" s="42">
        <f>M16-M18</f>
        <v/>
      </c>
      <c r="N20" s="42">
        <f>N16-N18</f>
        <v/>
      </c>
      <c r="O20" s="42">
        <f>O16-O18</f>
        <v/>
      </c>
      <c r="P20" s="42">
        <f>P16-P18</f>
        <v/>
      </c>
    </row>
    <row r="22">
      <c r="A22" s="17" t="inlineStr">
        <is>
          <t xml:space="preserve">  Interest Expense</t>
        </is>
      </c>
      <c r="B22" s="26" t="n">
        <v>192.5</v>
      </c>
      <c r="C22" s="26" t="n">
        <v>195.8</v>
      </c>
      <c r="D22" s="26" t="n">
        <v>199.4</v>
      </c>
      <c r="E22" s="26" t="n">
        <v>203.2</v>
      </c>
      <c r="F22" s="26" t="n">
        <v>207.6</v>
      </c>
      <c r="G22" s="44">
        <f>'Balance Sheet'!F20*Assumptions!$B$46-Initiatives!G19</f>
        <v/>
      </c>
      <c r="H22" s="44">
        <f>'Balance Sheet'!G20*Assumptions!$B$46-Initiatives!H19</f>
        <v/>
      </c>
      <c r="I22" s="44">
        <f>'Balance Sheet'!H20*Assumptions!$B$46-Initiatives!I19</f>
        <v/>
      </c>
      <c r="J22" s="44">
        <f>'Balance Sheet'!I20*Assumptions!$B$46-Initiatives!J19</f>
        <v/>
      </c>
      <c r="K22" s="44">
        <f>'Balance Sheet'!J20*Assumptions!$B$46-Initiatives!K19</f>
        <v/>
      </c>
      <c r="L22" s="44">
        <f>'Balance Sheet'!K20*Assumptions!$B$46-Initiatives!L19</f>
        <v/>
      </c>
      <c r="M22" s="44">
        <f>'Balance Sheet'!L20*Assumptions!$B$46-Initiatives!M19</f>
        <v/>
      </c>
      <c r="N22" s="44">
        <f>'Balance Sheet'!M20*Assumptions!$B$46-Initiatives!N19</f>
        <v/>
      </c>
      <c r="O22" s="44">
        <f>'Balance Sheet'!N20*Assumptions!$B$46-Initiatives!O19</f>
        <v/>
      </c>
      <c r="P22" s="44">
        <f>'Balance Sheet'!O20*Assumptions!$B$46-Initiatives!P19</f>
        <v/>
      </c>
    </row>
    <row r="24">
      <c r="A24" s="17" t="inlineStr">
        <is>
          <t>EBT</t>
        </is>
      </c>
      <c r="B24" s="45" t="n">
        <v>11.6</v>
      </c>
      <c r="C24" s="45" t="n">
        <v>21.6</v>
      </c>
      <c r="D24" s="45" t="n">
        <v>41.6</v>
      </c>
      <c r="E24" s="45" t="n">
        <v>43.7</v>
      </c>
      <c r="F24" s="45" t="n">
        <v>68.40000000000001</v>
      </c>
      <c r="G24" s="42">
        <f>G20-G22</f>
        <v/>
      </c>
      <c r="H24" s="42">
        <f>H20-H22</f>
        <v/>
      </c>
      <c r="I24" s="42">
        <f>I20-I22</f>
        <v/>
      </c>
      <c r="J24" s="42">
        <f>J20-J22</f>
        <v/>
      </c>
      <c r="K24" s="42">
        <f>K20-K22</f>
        <v/>
      </c>
      <c r="L24" s="42">
        <f>L20-L22</f>
        <v/>
      </c>
      <c r="M24" s="42">
        <f>M20-M22</f>
        <v/>
      </c>
      <c r="N24" s="42">
        <f>N20-N22</f>
        <v/>
      </c>
      <c r="O24" s="42">
        <f>O20-O22</f>
        <v/>
      </c>
      <c r="P24" s="42">
        <f>P20-P22</f>
        <v/>
      </c>
    </row>
    <row r="26">
      <c r="A26" s="17" t="inlineStr">
        <is>
          <t xml:space="preserve">  Income Tax</t>
        </is>
      </c>
      <c r="B26" s="26" t="n">
        <v>3.5</v>
      </c>
      <c r="C26" s="26" t="n">
        <v>6.5</v>
      </c>
      <c r="D26" s="26" t="n">
        <v>12.5</v>
      </c>
      <c r="E26" s="26" t="n">
        <v>13.1</v>
      </c>
      <c r="F26" s="26" t="n">
        <v>20.5</v>
      </c>
      <c r="G26" s="44">
        <f>MAX(G24*Assumptions!$B$12,0)</f>
        <v/>
      </c>
      <c r="H26" s="44">
        <f>MAX(H24*Assumptions!$B$12,0)</f>
        <v/>
      </c>
      <c r="I26" s="44">
        <f>MAX(I24*Assumptions!$B$12,0)</f>
        <v/>
      </c>
      <c r="J26" s="44">
        <f>MAX(J24*Assumptions!$B$12,0)</f>
        <v/>
      </c>
      <c r="K26" s="44">
        <f>MAX(K24*Assumptions!$B$12,0)</f>
        <v/>
      </c>
      <c r="L26" s="44">
        <f>MAX(L24*Assumptions!$B$12,0)</f>
        <v/>
      </c>
      <c r="M26" s="44">
        <f>MAX(M24*Assumptions!$B$12,0)</f>
        <v/>
      </c>
      <c r="N26" s="44">
        <f>MAX(N24*Assumptions!$B$12,0)</f>
        <v/>
      </c>
      <c r="O26" s="44">
        <f>MAX(O24*Assumptions!$B$12,0)</f>
        <v/>
      </c>
      <c r="P26" s="44">
        <f>MAX(P24*Assumptions!$B$12,0)</f>
        <v/>
      </c>
    </row>
    <row r="28">
      <c r="A28" s="17" t="inlineStr">
        <is>
          <t>Net Income</t>
        </is>
      </c>
      <c r="B28" s="45" t="n">
        <v>8.1</v>
      </c>
      <c r="C28" s="45" t="n">
        <v>15.1</v>
      </c>
      <c r="D28" s="45" t="n">
        <v>29.1</v>
      </c>
      <c r="E28" s="45" t="n">
        <v>30.6</v>
      </c>
      <c r="F28" s="45" t="n">
        <v>47.9</v>
      </c>
      <c r="G28" s="42">
        <f>G24-G26</f>
        <v/>
      </c>
      <c r="H28" s="42">
        <f>H24-H26</f>
        <v/>
      </c>
      <c r="I28" s="42">
        <f>I24-I26</f>
        <v/>
      </c>
      <c r="J28" s="42">
        <f>J24-J26</f>
        <v/>
      </c>
      <c r="K28" s="42">
        <f>K24-K26</f>
        <v/>
      </c>
      <c r="L28" s="42">
        <f>L24-L26</f>
        <v/>
      </c>
      <c r="M28" s="42">
        <f>M24-M26</f>
        <v/>
      </c>
      <c r="N28" s="42">
        <f>N24-N26</f>
        <v/>
      </c>
      <c r="O28" s="42">
        <f>O24-O26</f>
        <v/>
      </c>
      <c r="P28" s="42">
        <f>P24-P26</f>
        <v/>
      </c>
    </row>
    <row r="29">
      <c r="A29" s="17" t="inlineStr">
        <is>
          <t xml:space="preserve">  Dividends</t>
        </is>
      </c>
      <c r="B29" s="26" t="n">
        <v>5.7</v>
      </c>
      <c r="C29" s="26" t="n">
        <v>10.6</v>
      </c>
      <c r="D29" s="26" t="n">
        <v>20.4</v>
      </c>
      <c r="E29" s="26" t="n">
        <v>21.4</v>
      </c>
      <c r="F29" s="26" t="n">
        <v>33.5</v>
      </c>
      <c r="G29" s="44">
        <f>G28*Assumptions!$B$47</f>
        <v/>
      </c>
      <c r="H29" s="44">
        <f>H28*Assumptions!$B$47</f>
        <v/>
      </c>
      <c r="I29" s="44">
        <f>I28*Assumptions!$B$47</f>
        <v/>
      </c>
      <c r="J29" s="44">
        <f>J28*Assumptions!$B$47</f>
        <v/>
      </c>
      <c r="K29" s="44">
        <f>K28*Assumptions!$B$47</f>
        <v/>
      </c>
      <c r="L29" s="44">
        <f>L28*Assumptions!$B$47</f>
        <v/>
      </c>
      <c r="M29" s="44">
        <f>M28*Assumptions!$B$47</f>
        <v/>
      </c>
      <c r="N29" s="44">
        <f>N28*Assumptions!$B$47</f>
        <v/>
      </c>
      <c r="O29" s="44">
        <f>O28*Assumptions!$B$47</f>
        <v/>
      </c>
      <c r="P29" s="44">
        <f>P28*Assumptions!$B$47</f>
        <v/>
      </c>
    </row>
    <row r="30">
      <c r="A30" s="17" t="inlineStr">
        <is>
          <t xml:space="preserve">  Retained Earnings</t>
        </is>
      </c>
      <c r="B30" s="26" t="n">
        <v>2.4</v>
      </c>
      <c r="C30" s="26" t="n">
        <v>4.5</v>
      </c>
      <c r="D30" s="26" t="n">
        <v>8.699999999999999</v>
      </c>
      <c r="E30" s="26" t="n">
        <v>9.199999999999999</v>
      </c>
      <c r="F30" s="26" t="n">
        <v>14.4</v>
      </c>
      <c r="G30" s="44">
        <f>G28-G29</f>
        <v/>
      </c>
      <c r="H30" s="44">
        <f>H28-H29</f>
        <v/>
      </c>
      <c r="I30" s="44">
        <f>I28-I29</f>
        <v/>
      </c>
      <c r="J30" s="44">
        <f>J28-J29</f>
        <v/>
      </c>
      <c r="K30" s="44">
        <f>K28-K29</f>
        <v/>
      </c>
      <c r="L30" s="44">
        <f>L28-L29</f>
        <v/>
      </c>
      <c r="M30" s="44">
        <f>M28-M29</f>
        <v/>
      </c>
      <c r="N30" s="44">
        <f>N28-N29</f>
        <v/>
      </c>
      <c r="O30" s="44">
        <f>O28-O29</f>
        <v/>
      </c>
      <c r="P30" s="44">
        <f>P28-P29</f>
        <v/>
      </c>
    </row>
  </sheetData>
  <mergeCells count="1">
    <mergeCell ref="A1:P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00000"/>
    <outlinePr summaryBelow="1" summaryRight="1"/>
    <pageSetUpPr/>
  </sheetPr>
  <dimension ref="A1:Q2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BALANCE SHEET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ASSETS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Cash &amp; Cash Equivalents</t>
        </is>
      </c>
      <c r="B5" s="26" t="n">
        <v>130.3</v>
      </c>
      <c r="C5" s="26" t="n">
        <v>131.5</v>
      </c>
      <c r="D5" s="26" t="n">
        <v>125</v>
      </c>
      <c r="E5" s="26" t="n">
        <v>116.1</v>
      </c>
      <c r="F5" s="26" t="n">
        <v>105.4</v>
      </c>
      <c r="G5" s="44">
        <f>'Cash Flow'!G24</f>
        <v/>
      </c>
      <c r="H5" s="44">
        <f>'Cash Flow'!H24</f>
        <v/>
      </c>
      <c r="I5" s="44">
        <f>'Cash Flow'!I24</f>
        <v/>
      </c>
      <c r="J5" s="44">
        <f>'Cash Flow'!J24</f>
        <v/>
      </c>
      <c r="K5" s="44">
        <f>'Cash Flow'!K24</f>
        <v/>
      </c>
      <c r="L5" s="44">
        <f>'Cash Flow'!L24</f>
        <v/>
      </c>
      <c r="M5" s="44">
        <f>'Cash Flow'!M24</f>
        <v/>
      </c>
      <c r="N5" s="44">
        <f>'Cash Flow'!N24</f>
        <v/>
      </c>
      <c r="O5" s="44">
        <f>'Cash Flow'!O24</f>
        <v/>
      </c>
      <c r="P5" s="44">
        <f>'Cash Flow'!P24</f>
        <v/>
      </c>
    </row>
    <row r="6">
      <c r="A6" s="17" t="inlineStr">
        <is>
          <t xml:space="preserve">  Accounts Receivable</t>
        </is>
      </c>
      <c r="B6" s="26" t="n">
        <v>74.3</v>
      </c>
      <c r="C6" s="26" t="n">
        <v>77.5</v>
      </c>
      <c r="D6" s="26" t="n">
        <v>82.09999999999999</v>
      </c>
      <c r="E6" s="26" t="n">
        <v>84.7</v>
      </c>
      <c r="F6" s="26" t="n">
        <v>90.09999999999999</v>
      </c>
      <c r="G6" s="44">
        <f>'Income Statement'!G7*Assumptions!$B$52/365</f>
        <v/>
      </c>
      <c r="H6" s="44">
        <f>'Income Statement'!H7*Assumptions!$B$52/365</f>
        <v/>
      </c>
      <c r="I6" s="44">
        <f>'Income Statement'!I7*Assumptions!$B$52/365</f>
        <v/>
      </c>
      <c r="J6" s="44">
        <f>'Income Statement'!J7*Assumptions!$B$52/365</f>
        <v/>
      </c>
      <c r="K6" s="44">
        <f>'Income Statement'!K7*Assumptions!$B$52/365</f>
        <v/>
      </c>
      <c r="L6" s="44">
        <f>'Income Statement'!L7*Assumptions!$B$52/365</f>
        <v/>
      </c>
      <c r="M6" s="44">
        <f>'Income Statement'!M7*Assumptions!$B$52/365</f>
        <v/>
      </c>
      <c r="N6" s="44">
        <f>'Income Statement'!N7*Assumptions!$B$52/365</f>
        <v/>
      </c>
      <c r="O6" s="44">
        <f>'Income Statement'!O7*Assumptions!$B$52/365</f>
        <v/>
      </c>
      <c r="P6" s="44">
        <f>'Income Statement'!P7*Assumptions!$B$52/365</f>
        <v/>
      </c>
    </row>
    <row r="7">
      <c r="A7" s="17" t="inlineStr">
        <is>
          <t xml:space="preserve">  Total Current Assets</t>
        </is>
      </c>
      <c r="B7" s="45" t="n">
        <v>204.6</v>
      </c>
      <c r="C7" s="45" t="n">
        <v>209</v>
      </c>
      <c r="D7" s="45" t="n">
        <v>207.1</v>
      </c>
      <c r="E7" s="45" t="n">
        <v>200.8</v>
      </c>
      <c r="F7" s="45" t="n">
        <v>195.5</v>
      </c>
      <c r="G7" s="43">
        <f>G5+G6</f>
        <v/>
      </c>
      <c r="H7" s="43">
        <f>H5+H6</f>
        <v/>
      </c>
      <c r="I7" s="43">
        <f>I5+I6</f>
        <v/>
      </c>
      <c r="J7" s="43">
        <f>J5+J6</f>
        <v/>
      </c>
      <c r="K7" s="43">
        <f>K5+K6</f>
        <v/>
      </c>
      <c r="L7" s="43">
        <f>L5+L6</f>
        <v/>
      </c>
      <c r="M7" s="43">
        <f>M5+M6</f>
        <v/>
      </c>
      <c r="N7" s="43">
        <f>N5+N6</f>
        <v/>
      </c>
      <c r="O7" s="43">
        <f>O5+O6</f>
        <v/>
      </c>
      <c r="P7" s="43">
        <f>P5+P6</f>
        <v/>
      </c>
    </row>
    <row r="9">
      <c r="A9" s="17" t="inlineStr">
        <is>
          <t xml:space="preserve">  Gross PP&amp;E</t>
        </is>
      </c>
      <c r="B9" s="26" t="n">
        <v>8080</v>
      </c>
      <c r="C9" s="26" t="n">
        <v>8385</v>
      </c>
      <c r="D9" s="26" t="n">
        <v>8715</v>
      </c>
      <c r="E9" s="26" t="n">
        <v>9070</v>
      </c>
      <c r="F9" s="26" t="n">
        <v>9450</v>
      </c>
      <c r="G9" s="44">
        <f>F9+REFM!G15</f>
        <v/>
      </c>
      <c r="H9" s="44">
        <f>G9+REFM!H15</f>
        <v/>
      </c>
      <c r="I9" s="44">
        <f>H9+REFM!I15</f>
        <v/>
      </c>
      <c r="J9" s="44">
        <f>I9+REFM!J15</f>
        <v/>
      </c>
      <c r="K9" s="44">
        <f>J9+REFM!K15</f>
        <v/>
      </c>
      <c r="L9" s="44">
        <f>K9+REFM!L15</f>
        <v/>
      </c>
      <c r="M9" s="44">
        <f>L9+REFM!M15</f>
        <v/>
      </c>
      <c r="N9" s="44">
        <f>M9+REFM!N15</f>
        <v/>
      </c>
      <c r="O9" s="44">
        <f>N9+REFM!O15</f>
        <v/>
      </c>
      <c r="P9" s="44">
        <f>O9+REFM!P15</f>
        <v/>
      </c>
    </row>
    <row r="10">
      <c r="A10" s="17" t="inlineStr">
        <is>
          <t xml:space="preserve">  (Less) Accumulated D&amp;A</t>
        </is>
      </c>
      <c r="B10" s="26" t="n">
        <v>2830.9</v>
      </c>
      <c r="C10" s="26" t="n">
        <v>3070.5</v>
      </c>
      <c r="D10" s="26" t="n">
        <v>3319.5</v>
      </c>
      <c r="E10" s="26" t="n">
        <v>3578.6</v>
      </c>
      <c r="F10" s="26" t="n">
        <v>3848.6</v>
      </c>
      <c r="G10" s="44">
        <f>F10+'Income Statement'!G18</f>
        <v/>
      </c>
      <c r="H10" s="44">
        <f>G10+'Income Statement'!H18</f>
        <v/>
      </c>
      <c r="I10" s="44">
        <f>H10+'Income Statement'!I18</f>
        <v/>
      </c>
      <c r="J10" s="44">
        <f>I10+'Income Statement'!J18</f>
        <v/>
      </c>
      <c r="K10" s="44">
        <f>J10+'Income Statement'!K18</f>
        <v/>
      </c>
      <c r="L10" s="44">
        <f>K10+'Income Statement'!L18</f>
        <v/>
      </c>
      <c r="M10" s="44">
        <f>L10+'Income Statement'!M18</f>
        <v/>
      </c>
      <c r="N10" s="44">
        <f>M10+'Income Statement'!N18</f>
        <v/>
      </c>
      <c r="O10" s="44">
        <f>N10+'Income Statement'!O18</f>
        <v/>
      </c>
      <c r="P10" s="44">
        <f>O10+'Income Statement'!P18</f>
        <v/>
      </c>
    </row>
    <row r="11">
      <c r="A11" s="17" t="inlineStr">
        <is>
          <t xml:space="preserve">  Net PP&amp;E</t>
        </is>
      </c>
      <c r="B11" s="26" t="n">
        <v>5249.1</v>
      </c>
      <c r="C11" s="26" t="n">
        <v>5314.5</v>
      </c>
      <c r="D11" s="26" t="n">
        <v>5395.5</v>
      </c>
      <c r="E11" s="26" t="n">
        <v>5491.4</v>
      </c>
      <c r="F11" s="26" t="n">
        <v>5601.4</v>
      </c>
      <c r="G11" s="44">
        <f>G9-G10</f>
        <v/>
      </c>
      <c r="H11" s="44">
        <f>H9-H10</f>
        <v/>
      </c>
      <c r="I11" s="44">
        <f>I9-I10</f>
        <v/>
      </c>
      <c r="J11" s="44">
        <f>J9-J10</f>
        <v/>
      </c>
      <c r="K11" s="44">
        <f>K9-K10</f>
        <v/>
      </c>
      <c r="L11" s="44">
        <f>L9-L10</f>
        <v/>
      </c>
      <c r="M11" s="44">
        <f>M9-M10</f>
        <v/>
      </c>
      <c r="N11" s="44">
        <f>N9-N10</f>
        <v/>
      </c>
      <c r="O11" s="44">
        <f>O9-O10</f>
        <v/>
      </c>
      <c r="P11" s="44">
        <f>P9-P10</f>
        <v/>
      </c>
    </row>
    <row r="12">
      <c r="A12" s="17" t="inlineStr">
        <is>
          <t xml:space="preserve">  Regulatory Asset (RAB excess over book)</t>
        </is>
      </c>
      <c r="B12" s="26" t="n">
        <v>-217.1</v>
      </c>
      <c r="C12" s="26" t="n">
        <v>-17.8</v>
      </c>
      <c r="D12" s="26" t="n">
        <v>194.1</v>
      </c>
      <c r="E12" s="26" t="n">
        <v>481.2</v>
      </c>
      <c r="F12" s="26" t="n">
        <v>960.3</v>
      </c>
      <c r="G12" s="44">
        <f>RAB!G9-G11</f>
        <v/>
      </c>
      <c r="H12" s="44">
        <f>RAB!H9-H11</f>
        <v/>
      </c>
      <c r="I12" s="44">
        <f>RAB!I9-I11</f>
        <v/>
      </c>
      <c r="J12" s="44">
        <f>RAB!J9-J11</f>
        <v/>
      </c>
      <c r="K12" s="44">
        <f>RAB!K9-K11</f>
        <v/>
      </c>
      <c r="L12" s="44">
        <f>RAB!L9-L11</f>
        <v/>
      </c>
      <c r="M12" s="44">
        <f>RAB!M9-M11</f>
        <v/>
      </c>
      <c r="N12" s="44">
        <f>RAB!N9-N11</f>
        <v/>
      </c>
      <c r="O12" s="44">
        <f>RAB!O9-O11</f>
        <v/>
      </c>
      <c r="P12" s="44">
        <f>RAB!P9-P11</f>
        <v/>
      </c>
    </row>
    <row r="13">
      <c r="A13" s="17" t="inlineStr">
        <is>
          <t xml:space="preserve">  Total Non-Current Assets</t>
        </is>
      </c>
      <c r="B13" s="45" t="n">
        <v>5032</v>
      </c>
      <c r="C13" s="45" t="n">
        <v>5296.7</v>
      </c>
      <c r="D13" s="45" t="n">
        <v>5589.6</v>
      </c>
      <c r="E13" s="45" t="n">
        <v>5972.6</v>
      </c>
      <c r="F13" s="45" t="n">
        <v>6561.7</v>
      </c>
      <c r="G13" s="43">
        <f>G11+G12</f>
        <v/>
      </c>
      <c r="H13" s="43">
        <f>H11+H12</f>
        <v/>
      </c>
      <c r="I13" s="43">
        <f>I11+I12</f>
        <v/>
      </c>
      <c r="J13" s="43">
        <f>J11+J12</f>
        <v/>
      </c>
      <c r="K13" s="43">
        <f>K11+K12</f>
        <v/>
      </c>
      <c r="L13" s="43">
        <f>L11+L12</f>
        <v/>
      </c>
      <c r="M13" s="43">
        <f>M11+M12</f>
        <v/>
      </c>
      <c r="N13" s="43">
        <f>N11+N12</f>
        <v/>
      </c>
      <c r="O13" s="43">
        <f>O11+O12</f>
        <v/>
      </c>
      <c r="P13" s="43">
        <f>P11+P12</f>
        <v/>
      </c>
    </row>
    <row r="14">
      <c r="A14" s="17" t="inlineStr">
        <is>
          <t>TOTAL ASSETS</t>
        </is>
      </c>
      <c r="B14" s="45" t="n">
        <v>5236.6</v>
      </c>
      <c r="C14" s="45" t="n">
        <v>5505.7</v>
      </c>
      <c r="D14" s="45" t="n">
        <v>5796.7</v>
      </c>
      <c r="E14" s="45" t="n">
        <v>6173.4</v>
      </c>
      <c r="F14" s="45" t="n">
        <v>6757.2</v>
      </c>
      <c r="G14" s="42">
        <f>G7+G13</f>
        <v/>
      </c>
      <c r="H14" s="42">
        <f>H7+H13</f>
        <v/>
      </c>
      <c r="I14" s="42">
        <f>I7+I13</f>
        <v/>
      </c>
      <c r="J14" s="42">
        <f>J7+J13</f>
        <v/>
      </c>
      <c r="K14" s="42">
        <f>K7+K13</f>
        <v/>
      </c>
      <c r="L14" s="42">
        <f>L7+L13</f>
        <v/>
      </c>
      <c r="M14" s="42">
        <f>M7+M13</f>
        <v/>
      </c>
      <c r="N14" s="42">
        <f>N7+N13</f>
        <v/>
      </c>
      <c r="O14" s="42">
        <f>O7+O13</f>
        <v/>
      </c>
      <c r="P14" s="42">
        <f>P7+P13</f>
        <v/>
      </c>
    </row>
    <row r="16" ht="16" customHeight="1">
      <c r="A16" s="15" t="inlineStr">
        <is>
          <t>LIABILITIES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Accounts Payable</t>
        </is>
      </c>
      <c r="B17" s="26" t="n">
        <v>13.8</v>
      </c>
      <c r="C17" s="26" t="n">
        <v>14.1</v>
      </c>
      <c r="D17" s="26" t="n">
        <v>14.5</v>
      </c>
      <c r="E17" s="26" t="n">
        <v>14.9</v>
      </c>
      <c r="F17" s="26" t="n">
        <v>15.2</v>
      </c>
      <c r="G17" s="44">
        <f>REFM!G9*Assumptions!$B$53/365</f>
        <v/>
      </c>
      <c r="H17" s="44">
        <f>REFM!H9*Assumptions!$B$53/365</f>
        <v/>
      </c>
      <c r="I17" s="44">
        <f>REFM!I9*Assumptions!$B$53/365</f>
        <v/>
      </c>
      <c r="J17" s="44">
        <f>REFM!J9*Assumptions!$B$53/365</f>
        <v/>
      </c>
      <c r="K17" s="44">
        <f>REFM!K9*Assumptions!$B$53/365</f>
        <v/>
      </c>
      <c r="L17" s="44">
        <f>REFM!L9*Assumptions!$B$53/365</f>
        <v/>
      </c>
      <c r="M17" s="44">
        <f>REFM!M9*Assumptions!$B$53/365</f>
        <v/>
      </c>
      <c r="N17" s="44">
        <f>REFM!N9*Assumptions!$B$53/365</f>
        <v/>
      </c>
      <c r="O17" s="44">
        <f>REFM!O9*Assumptions!$B$53/365</f>
        <v/>
      </c>
      <c r="P17" s="44">
        <f>REFM!P9*Assumptions!$B$53/365</f>
        <v/>
      </c>
    </row>
    <row r="18">
      <c r="A18" s="17" t="inlineStr">
        <is>
          <t xml:space="preserve">  Total Current Liabilities</t>
        </is>
      </c>
      <c r="B18" s="45" t="n">
        <v>13.8</v>
      </c>
      <c r="C18" s="45" t="n">
        <v>14.1</v>
      </c>
      <c r="D18" s="45" t="n">
        <v>14.5</v>
      </c>
      <c r="E18" s="45" t="n">
        <v>14.9</v>
      </c>
      <c r="F18" s="45" t="n">
        <v>15.2</v>
      </c>
      <c r="G18" s="43">
        <f>G17</f>
        <v/>
      </c>
      <c r="H18" s="43">
        <f>H17</f>
        <v/>
      </c>
      <c r="I18" s="43">
        <f>I17</f>
        <v/>
      </c>
      <c r="J18" s="43">
        <f>J17</f>
        <v/>
      </c>
      <c r="K18" s="43">
        <f>K17</f>
        <v/>
      </c>
      <c r="L18" s="43">
        <f>L17</f>
        <v/>
      </c>
      <c r="M18" s="43">
        <f>M17</f>
        <v/>
      </c>
      <c r="N18" s="43">
        <f>N17</f>
        <v/>
      </c>
      <c r="O18" s="43">
        <f>O17</f>
        <v/>
      </c>
      <c r="P18" s="43">
        <f>P17</f>
        <v/>
      </c>
    </row>
    <row r="20">
      <c r="A20" s="17" t="inlineStr">
        <is>
          <t xml:space="preserve">  Long-Term Debt</t>
        </is>
      </c>
      <c r="B20" s="26" t="n">
        <v>3560</v>
      </c>
      <c r="C20" s="26" t="n">
        <v>3625</v>
      </c>
      <c r="D20" s="26" t="n">
        <v>3695</v>
      </c>
      <c r="E20" s="26" t="n">
        <v>3775</v>
      </c>
      <c r="F20" s="26" t="n">
        <v>3865</v>
      </c>
      <c r="G20" s="44">
        <f>F20+Assumptions!G48-Assumptions!G49</f>
        <v/>
      </c>
      <c r="H20" s="44">
        <f>G20+Assumptions!H48-Assumptions!H49</f>
        <v/>
      </c>
      <c r="I20" s="44">
        <f>H20+Assumptions!I48-Assumptions!I49</f>
        <v/>
      </c>
      <c r="J20" s="44">
        <f>I20+Assumptions!J48-Assumptions!J49</f>
        <v/>
      </c>
      <c r="K20" s="44">
        <f>J20+Assumptions!K48-Assumptions!K49</f>
        <v/>
      </c>
      <c r="L20" s="44">
        <f>K20+Assumptions!L48-Assumptions!L49</f>
        <v/>
      </c>
      <c r="M20" s="44">
        <f>L20+Assumptions!M48-Assumptions!M49</f>
        <v/>
      </c>
      <c r="N20" s="44">
        <f>M20+Assumptions!N48-Assumptions!N49</f>
        <v/>
      </c>
      <c r="O20" s="44">
        <f>N20+Assumptions!O48-Assumptions!O49</f>
        <v/>
      </c>
      <c r="P20" s="44">
        <f>O20+Assumptions!P48-Assumptions!P49</f>
        <v/>
      </c>
    </row>
    <row r="21">
      <c r="A21" s="17" t="inlineStr">
        <is>
          <t xml:space="preserve">  Deferred Tax Liability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44">
        <f>MAX((RAB!G14-G10)*Assumptions!$B$12,0)</f>
        <v/>
      </c>
      <c r="H21" s="44">
        <f>MAX((RAB!H14-H10)*Assumptions!$B$12,0)</f>
        <v/>
      </c>
      <c r="I21" s="44">
        <f>MAX((RAB!I14-I10)*Assumptions!$B$12,0)</f>
        <v/>
      </c>
      <c r="J21" s="44">
        <f>MAX((RAB!J14-J10)*Assumptions!$B$12,0)</f>
        <v/>
      </c>
      <c r="K21" s="44">
        <f>MAX((RAB!K14-K10)*Assumptions!$B$12,0)</f>
        <v/>
      </c>
      <c r="L21" s="44">
        <f>MAX((RAB!L14-L10)*Assumptions!$B$12,0)</f>
        <v/>
      </c>
      <c r="M21" s="44">
        <f>MAX((RAB!M14-M10)*Assumptions!$B$12,0)</f>
        <v/>
      </c>
      <c r="N21" s="44">
        <f>MAX((RAB!N14-N10)*Assumptions!$B$12,0)</f>
        <v/>
      </c>
      <c r="O21" s="44">
        <f>MAX((RAB!O14-O10)*Assumptions!$B$12,0)</f>
        <v/>
      </c>
      <c r="P21" s="44">
        <f>MAX((RAB!P14-P10)*Assumptions!$B$12,0)</f>
        <v/>
      </c>
    </row>
    <row r="22">
      <c r="A22" s="17" t="inlineStr">
        <is>
          <t xml:space="preserve">  Total Non-Current Liabilities</t>
        </is>
      </c>
      <c r="B22" s="45" t="n">
        <v>3560</v>
      </c>
      <c r="C22" s="45" t="n">
        <v>3625</v>
      </c>
      <c r="D22" s="45" t="n">
        <v>3695</v>
      </c>
      <c r="E22" s="45" t="n">
        <v>3775</v>
      </c>
      <c r="F22" s="45" t="n">
        <v>3865</v>
      </c>
      <c r="G22" s="43">
        <f>G20+G21</f>
        <v/>
      </c>
      <c r="H22" s="43">
        <f>H20+H21</f>
        <v/>
      </c>
      <c r="I22" s="43">
        <f>I20+I21</f>
        <v/>
      </c>
      <c r="J22" s="43">
        <f>J20+J21</f>
        <v/>
      </c>
      <c r="K22" s="43">
        <f>K20+K21</f>
        <v/>
      </c>
      <c r="L22" s="43">
        <f>L20+L21</f>
        <v/>
      </c>
      <c r="M22" s="43">
        <f>M20+M21</f>
        <v/>
      </c>
      <c r="N22" s="43">
        <f>N20+N21</f>
        <v/>
      </c>
      <c r="O22" s="43">
        <f>O20+O21</f>
        <v/>
      </c>
      <c r="P22" s="43">
        <f>P20+P21</f>
        <v/>
      </c>
    </row>
    <row r="23">
      <c r="A23" s="17" t="inlineStr">
        <is>
          <t>TOTAL LIABILITIES</t>
        </is>
      </c>
      <c r="B23" s="45" t="n">
        <v>3573.8</v>
      </c>
      <c r="C23" s="45" t="n">
        <v>3639.1</v>
      </c>
      <c r="D23" s="45" t="n">
        <v>3709.5</v>
      </c>
      <c r="E23" s="45" t="n">
        <v>3789.9</v>
      </c>
      <c r="F23" s="45" t="n">
        <v>3880.2</v>
      </c>
      <c r="G23" s="42">
        <f>G18+G22</f>
        <v/>
      </c>
      <c r="H23" s="42">
        <f>H18+H22</f>
        <v/>
      </c>
      <c r="I23" s="42">
        <f>I18+I22</f>
        <v/>
      </c>
      <c r="J23" s="42">
        <f>J18+J22</f>
        <v/>
      </c>
      <c r="K23" s="42">
        <f>K18+K22</f>
        <v/>
      </c>
      <c r="L23" s="42">
        <f>L18+L22</f>
        <v/>
      </c>
      <c r="M23" s="42">
        <f>M18+M22</f>
        <v/>
      </c>
      <c r="N23" s="42">
        <f>N18+N22</f>
        <v/>
      </c>
      <c r="O23" s="42">
        <f>O18+O22</f>
        <v/>
      </c>
      <c r="P23" s="42">
        <f>P18+P22</f>
        <v/>
      </c>
    </row>
    <row r="25" ht="16" customHeight="1">
      <c r="A25" s="15" t="inlineStr">
        <is>
          <t>EQUITY ($M)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Share Capital &amp; Reserves</t>
        </is>
      </c>
      <c r="B26" s="26" t="n">
        <v>880</v>
      </c>
      <c r="C26" s="26" t="n">
        <v>880</v>
      </c>
      <c r="D26" s="26" t="n">
        <v>880</v>
      </c>
      <c r="E26" s="26" t="n">
        <v>880</v>
      </c>
      <c r="F26" s="26" t="n">
        <v>880</v>
      </c>
      <c r="G26" s="44">
        <f>F26</f>
        <v/>
      </c>
      <c r="H26" s="44">
        <f>G26</f>
        <v/>
      </c>
      <c r="I26" s="44">
        <f>H26</f>
        <v/>
      </c>
      <c r="J26" s="44">
        <f>I26</f>
        <v/>
      </c>
      <c r="K26" s="44">
        <f>J26</f>
        <v/>
      </c>
      <c r="L26" s="44">
        <f>K26</f>
        <v/>
      </c>
      <c r="M26" s="44">
        <f>L26</f>
        <v/>
      </c>
      <c r="N26" s="44">
        <f>M26</f>
        <v/>
      </c>
      <c r="O26" s="44">
        <f>N26</f>
        <v/>
      </c>
      <c r="P26" s="44">
        <f>O26</f>
        <v/>
      </c>
    </row>
    <row r="27">
      <c r="A27" s="17" t="inlineStr">
        <is>
          <t xml:space="preserve">  Retained Earnings</t>
        </is>
      </c>
      <c r="B27" s="26" t="n">
        <v>422.4</v>
      </c>
      <c r="C27" s="26" t="n">
        <v>426.9</v>
      </c>
      <c r="D27" s="26" t="n">
        <v>435.6</v>
      </c>
      <c r="E27" s="26" t="n">
        <v>444.8</v>
      </c>
      <c r="F27" s="26" t="n">
        <v>459.1999999999999</v>
      </c>
      <c r="G27" s="44">
        <f>F27+'Income Statement'!G30</f>
        <v/>
      </c>
      <c r="H27" s="44">
        <f>G27+'Income Statement'!H30</f>
        <v/>
      </c>
      <c r="I27" s="44">
        <f>H27+'Income Statement'!I30</f>
        <v/>
      </c>
      <c r="J27" s="44">
        <f>I27+'Income Statement'!J30</f>
        <v/>
      </c>
      <c r="K27" s="44">
        <f>J27+'Income Statement'!K30</f>
        <v/>
      </c>
      <c r="L27" s="44">
        <f>K27+'Income Statement'!L30</f>
        <v/>
      </c>
      <c r="M27" s="44">
        <f>L27+'Income Statement'!M30</f>
        <v/>
      </c>
      <c r="N27" s="44">
        <f>M27+'Income Statement'!N30</f>
        <v/>
      </c>
      <c r="O27" s="44">
        <f>N27+'Income Statement'!O30</f>
        <v/>
      </c>
      <c r="P27" s="44">
        <f>O27+'Income Statement'!P30</f>
        <v/>
      </c>
    </row>
    <row r="28">
      <c r="A28" s="17" t="inlineStr">
        <is>
          <t xml:space="preserve">  Total Equity</t>
        </is>
      </c>
      <c r="B28" s="45" t="n">
        <v>1302.4</v>
      </c>
      <c r="C28" s="45" t="n">
        <v>1306.9</v>
      </c>
      <c r="D28" s="45" t="n">
        <v>1315.6</v>
      </c>
      <c r="E28" s="45" t="n">
        <v>1324.8</v>
      </c>
      <c r="F28" s="45" t="n">
        <v>1339.2</v>
      </c>
      <c r="G28" s="43">
        <f>G26+G27</f>
        <v/>
      </c>
      <c r="H28" s="43">
        <f>H26+H27</f>
        <v/>
      </c>
      <c r="I28" s="43">
        <f>I26+I27</f>
        <v/>
      </c>
      <c r="J28" s="43">
        <f>J26+J27</f>
        <v/>
      </c>
      <c r="K28" s="43">
        <f>K26+K27</f>
        <v/>
      </c>
      <c r="L28" s="43">
        <f>L26+L27</f>
        <v/>
      </c>
      <c r="M28" s="43">
        <f>M26+M27</f>
        <v/>
      </c>
      <c r="N28" s="43">
        <f>N26+N27</f>
        <v/>
      </c>
      <c r="O28" s="43">
        <f>O26+O27</f>
        <v/>
      </c>
      <c r="P28" s="43">
        <f>P26+P27</f>
        <v/>
      </c>
    </row>
    <row r="29">
      <c r="A29" s="17" t="inlineStr">
        <is>
          <t>TOTAL LIABILITIES &amp; EQUITY</t>
        </is>
      </c>
      <c r="B29" s="45" t="n">
        <v>4876.2</v>
      </c>
      <c r="C29" s="45" t="n">
        <v>4946</v>
      </c>
      <c r="D29" s="45" t="n">
        <v>5025.1</v>
      </c>
      <c r="E29" s="45" t="n">
        <v>5114.7</v>
      </c>
      <c r="F29" s="45" t="n">
        <v>5219.4</v>
      </c>
      <c r="G29" s="42">
        <f>G23+G28</f>
        <v/>
      </c>
      <c r="H29" s="42">
        <f>H23+H28</f>
        <v/>
      </c>
      <c r="I29" s="42">
        <f>I23+I28</f>
        <v/>
      </c>
      <c r="J29" s="42">
        <f>J23+J28</f>
        <v/>
      </c>
      <c r="K29" s="42">
        <f>K23+K28</f>
        <v/>
      </c>
      <c r="L29" s="42">
        <f>L23+L28</f>
        <v/>
      </c>
      <c r="M29" s="42">
        <f>M23+M28</f>
        <v/>
      </c>
      <c r="N29" s="42">
        <f>N23+N28</f>
        <v/>
      </c>
      <c r="O29" s="42">
        <f>O23+O28</f>
        <v/>
      </c>
      <c r="P29" s="42">
        <f>P23+P28</f>
        <v/>
      </c>
    </row>
  </sheetData>
  <mergeCells count="1">
    <mergeCell ref="A1:P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CASH FLOW STATEMENT — Indirect Method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ACTIVITIES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 Income</t>
        </is>
      </c>
      <c r="B5" s="26" t="n">
        <v>8.1</v>
      </c>
      <c r="C5" s="26" t="n">
        <v>15.1</v>
      </c>
      <c r="D5" s="26" t="n">
        <v>29.1</v>
      </c>
      <c r="E5" s="26" t="n">
        <v>30.6</v>
      </c>
      <c r="F5" s="26" t="n">
        <v>47.9</v>
      </c>
      <c r="G5" s="44">
        <f>'Income Statement'!G28</f>
        <v/>
      </c>
      <c r="H5" s="44">
        <f>'Income Statement'!H28</f>
        <v/>
      </c>
      <c r="I5" s="44">
        <f>'Income Statement'!I28</f>
        <v/>
      </c>
      <c r="J5" s="44">
        <f>'Income Statement'!J28</f>
        <v/>
      </c>
      <c r="K5" s="44">
        <f>'Income Statement'!K28</f>
        <v/>
      </c>
      <c r="L5" s="44">
        <f>'Income Statement'!L28</f>
        <v/>
      </c>
      <c r="M5" s="44">
        <f>'Income Statement'!M28</f>
        <v/>
      </c>
      <c r="N5" s="44">
        <f>'Income Statement'!N28</f>
        <v/>
      </c>
      <c r="O5" s="44">
        <f>'Income Statement'!O28</f>
        <v/>
      </c>
      <c r="P5" s="44">
        <f>'Income Statement'!P28</f>
        <v/>
      </c>
    </row>
    <row r="6">
      <c r="A6" s="17" t="inlineStr">
        <is>
          <t xml:space="preserve">  + Depreciation &amp; Amortisation</t>
        </is>
      </c>
      <c r="B6" s="26" t="n">
        <v>230.9</v>
      </c>
      <c r="C6" s="26" t="n">
        <v>239.6</v>
      </c>
      <c r="D6" s="26" t="n">
        <v>249</v>
      </c>
      <c r="E6" s="26" t="n">
        <v>259.1</v>
      </c>
      <c r="F6" s="26" t="n">
        <v>270</v>
      </c>
      <c r="G6" s="44">
        <f>'Income Statement'!G18</f>
        <v/>
      </c>
      <c r="H6" s="44">
        <f>'Income Statement'!H18</f>
        <v/>
      </c>
      <c r="I6" s="44">
        <f>'Income Statement'!I18</f>
        <v/>
      </c>
      <c r="J6" s="44">
        <f>'Income Statement'!J18</f>
        <v/>
      </c>
      <c r="K6" s="44">
        <f>'Income Statement'!K18</f>
        <v/>
      </c>
      <c r="L6" s="44">
        <f>'Income Statement'!L18</f>
        <v/>
      </c>
      <c r="M6" s="44">
        <f>'Income Statement'!M18</f>
        <v/>
      </c>
      <c r="N6" s="44">
        <f>'Income Statement'!N18</f>
        <v/>
      </c>
      <c r="O6" s="44">
        <f>'Income Statement'!O18</f>
        <v/>
      </c>
      <c r="P6" s="44">
        <f>'Income Statement'!P18</f>
        <v/>
      </c>
    </row>
    <row r="7">
      <c r="A7" s="17" t="inlineStr">
        <is>
          <t xml:space="preserve">  +/− Change in Accounts Receivable</t>
        </is>
      </c>
      <c r="B7" s="26" t="n">
        <v>-3.7</v>
      </c>
      <c r="C7" s="26" t="n">
        <v>-3.2</v>
      </c>
      <c r="D7" s="26" t="n">
        <v>-4.6</v>
      </c>
      <c r="E7" s="26" t="n">
        <v>-2.6</v>
      </c>
      <c r="F7" s="26" t="n">
        <v>-5.4</v>
      </c>
      <c r="G7" s="44">
        <f>-('Balance Sheet'!G6-'Balance Sheet'!F6)</f>
        <v/>
      </c>
      <c r="H7" s="44">
        <f>-('Balance Sheet'!H6-'Balance Sheet'!G6)</f>
        <v/>
      </c>
      <c r="I7" s="44">
        <f>-('Balance Sheet'!I6-'Balance Sheet'!H6)</f>
        <v/>
      </c>
      <c r="J7" s="44">
        <f>-('Balance Sheet'!J6-'Balance Sheet'!I6)</f>
        <v/>
      </c>
      <c r="K7" s="44">
        <f>-('Balance Sheet'!K6-'Balance Sheet'!J6)</f>
        <v/>
      </c>
      <c r="L7" s="44">
        <f>-('Balance Sheet'!L6-'Balance Sheet'!K6)</f>
        <v/>
      </c>
      <c r="M7" s="44">
        <f>-('Balance Sheet'!M6-'Balance Sheet'!L6)</f>
        <v/>
      </c>
      <c r="N7" s="44">
        <f>-('Balance Sheet'!N6-'Balance Sheet'!M6)</f>
        <v/>
      </c>
      <c r="O7" s="44">
        <f>-('Balance Sheet'!O6-'Balance Sheet'!N6)</f>
        <v/>
      </c>
      <c r="P7" s="44">
        <f>-('Balance Sheet'!P6-'Balance Sheet'!O6)</f>
        <v/>
      </c>
    </row>
    <row r="8">
      <c r="A8" s="17" t="inlineStr">
        <is>
          <t xml:space="preserve">  +/− Change in Accounts Payable</t>
        </is>
      </c>
      <c r="B8" s="26" t="n">
        <v>0.7</v>
      </c>
      <c r="C8" s="26" t="n">
        <v>0.3</v>
      </c>
      <c r="D8" s="26" t="n">
        <v>0.4</v>
      </c>
      <c r="E8" s="26" t="n">
        <v>0.4</v>
      </c>
      <c r="F8" s="26" t="n">
        <v>0.3</v>
      </c>
      <c r="G8" s="44">
        <f>'Balance Sheet'!G17-'Balance Sheet'!F17</f>
        <v/>
      </c>
      <c r="H8" s="44">
        <f>'Balance Sheet'!H17-'Balance Sheet'!G17</f>
        <v/>
      </c>
      <c r="I8" s="44">
        <f>'Balance Sheet'!I17-'Balance Sheet'!H17</f>
        <v/>
      </c>
      <c r="J8" s="44">
        <f>'Balance Sheet'!J17-'Balance Sheet'!I17</f>
        <v/>
      </c>
      <c r="K8" s="44">
        <f>'Balance Sheet'!K17-'Balance Sheet'!J17</f>
        <v/>
      </c>
      <c r="L8" s="44">
        <f>'Balance Sheet'!L17-'Balance Sheet'!K17</f>
        <v/>
      </c>
      <c r="M8" s="44">
        <f>'Balance Sheet'!M17-'Balance Sheet'!L17</f>
        <v/>
      </c>
      <c r="N8" s="44">
        <f>'Balance Sheet'!N17-'Balance Sheet'!M17</f>
        <v/>
      </c>
      <c r="O8" s="44">
        <f>'Balance Sheet'!O17-'Balance Sheet'!N17</f>
        <v/>
      </c>
      <c r="P8" s="44">
        <f>'Balance Sheet'!P17-'Balance Sheet'!O17</f>
        <v/>
      </c>
    </row>
    <row r="9">
      <c r="A9" s="17" t="inlineStr">
        <is>
          <t xml:space="preserve">  +/− Change in Regulatory Assets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44">
        <f>-('Balance Sheet'!G12-'Balance Sheet'!F12)</f>
        <v/>
      </c>
      <c r="H9" s="44">
        <f>-('Balance Sheet'!H12-'Balance Sheet'!G12)</f>
        <v/>
      </c>
      <c r="I9" s="44">
        <f>-('Balance Sheet'!I12-'Balance Sheet'!H12)</f>
        <v/>
      </c>
      <c r="J9" s="44">
        <f>-('Balance Sheet'!J12-'Balance Sheet'!I12)</f>
        <v/>
      </c>
      <c r="K9" s="44">
        <f>-('Balance Sheet'!K12-'Balance Sheet'!J12)</f>
        <v/>
      </c>
      <c r="L9" s="44">
        <f>-('Balance Sheet'!L12-'Balance Sheet'!K12)</f>
        <v/>
      </c>
      <c r="M9" s="44">
        <f>-('Balance Sheet'!M12-'Balance Sheet'!L12)</f>
        <v/>
      </c>
      <c r="N9" s="44">
        <f>-('Balance Sheet'!N12-'Balance Sheet'!M12)</f>
        <v/>
      </c>
      <c r="O9" s="44">
        <f>-('Balance Sheet'!O12-'Balance Sheet'!N12)</f>
        <v/>
      </c>
      <c r="P9" s="44">
        <f>-('Balance Sheet'!P12-'Balance Sheet'!O12)</f>
        <v/>
      </c>
    </row>
    <row r="10">
      <c r="A10" s="17" t="inlineStr">
        <is>
          <t xml:space="preserve">  Net Cash from Operating Activities</t>
        </is>
      </c>
      <c r="B10" s="45" t="n">
        <v>236</v>
      </c>
      <c r="C10" s="45" t="n">
        <v>251.8</v>
      </c>
      <c r="D10" s="45" t="n">
        <v>273.9</v>
      </c>
      <c r="E10" s="45" t="n">
        <v>287.5</v>
      </c>
      <c r="F10" s="45" t="n">
        <v>312.8</v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INVESTING ACTIVITIES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Capital Expenditure</t>
        </is>
      </c>
      <c r="B13" s="26" t="n">
        <v>-280</v>
      </c>
      <c r="C13" s="26" t="n">
        <v>-305</v>
      </c>
      <c r="D13" s="26" t="n">
        <v>-330</v>
      </c>
      <c r="E13" s="26" t="n">
        <v>-355</v>
      </c>
      <c r="F13" s="26" t="n">
        <v>-380</v>
      </c>
      <c r="G13" s="44">
        <f>-REFM!G15</f>
        <v/>
      </c>
      <c r="H13" s="44">
        <f>-REFM!H15</f>
        <v/>
      </c>
      <c r="I13" s="44">
        <f>-REFM!I15</f>
        <v/>
      </c>
      <c r="J13" s="44">
        <f>-REFM!J15</f>
        <v/>
      </c>
      <c r="K13" s="44">
        <f>-REFM!K15</f>
        <v/>
      </c>
      <c r="L13" s="44">
        <f>-REFM!L15</f>
        <v/>
      </c>
      <c r="M13" s="44">
        <f>-REFM!M15</f>
        <v/>
      </c>
      <c r="N13" s="44">
        <f>-REFM!N15</f>
        <v/>
      </c>
      <c r="O13" s="44">
        <f>-REFM!O15</f>
        <v/>
      </c>
      <c r="P13" s="44">
        <f>-REFM!P15</f>
        <v/>
      </c>
    </row>
    <row r="14">
      <c r="A14" s="17" t="inlineStr">
        <is>
          <t xml:space="preserve">  Net Cash from Investing Activities</t>
        </is>
      </c>
      <c r="B14" s="45" t="n">
        <v>-280</v>
      </c>
      <c r="C14" s="45" t="n">
        <v>-305</v>
      </c>
      <c r="D14" s="45" t="n">
        <v>-330</v>
      </c>
      <c r="E14" s="45" t="n">
        <v>-355</v>
      </c>
      <c r="F14" s="45" t="n">
        <v>-380</v>
      </c>
      <c r="G14" s="42">
        <f>G13</f>
        <v/>
      </c>
      <c r="H14" s="42">
        <f>H13</f>
        <v/>
      </c>
      <c r="I14" s="42">
        <f>I13</f>
        <v/>
      </c>
      <c r="J14" s="42">
        <f>J13</f>
        <v/>
      </c>
      <c r="K14" s="42">
        <f>K13</f>
        <v/>
      </c>
      <c r="L14" s="42">
        <f>L13</f>
        <v/>
      </c>
      <c r="M14" s="42">
        <f>M13</f>
        <v/>
      </c>
      <c r="N14" s="42">
        <f>N13</f>
        <v/>
      </c>
      <c r="O14" s="42">
        <f>O13</f>
        <v/>
      </c>
      <c r="P14" s="42">
        <f>P13</f>
        <v/>
      </c>
    </row>
    <row r="16" ht="16" customHeight="1">
      <c r="A16" s="15" t="inlineStr">
        <is>
          <t>FINANCING ACTIVITIES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Debt Issuances</t>
        </is>
      </c>
      <c r="B17" s="26" t="n">
        <v>300</v>
      </c>
      <c r="C17" s="26" t="n">
        <v>310</v>
      </c>
      <c r="D17" s="26" t="n">
        <v>320</v>
      </c>
      <c r="E17" s="26" t="n">
        <v>340</v>
      </c>
      <c r="F17" s="26" t="n">
        <v>360</v>
      </c>
      <c r="G17" s="44">
        <f>Assumptions!G48</f>
        <v/>
      </c>
      <c r="H17" s="44">
        <f>Assumptions!H48</f>
        <v/>
      </c>
      <c r="I17" s="44">
        <f>Assumptions!I48</f>
        <v/>
      </c>
      <c r="J17" s="44">
        <f>Assumptions!J48</f>
        <v/>
      </c>
      <c r="K17" s="44">
        <f>Assumptions!K48</f>
        <v/>
      </c>
      <c r="L17" s="44">
        <f>Assumptions!L48</f>
        <v/>
      </c>
      <c r="M17" s="44">
        <f>Assumptions!M48</f>
        <v/>
      </c>
      <c r="N17" s="44">
        <f>Assumptions!N48</f>
        <v/>
      </c>
      <c r="O17" s="44">
        <f>Assumptions!O48</f>
        <v/>
      </c>
      <c r="P17" s="44">
        <f>Assumptions!P48</f>
        <v/>
      </c>
    </row>
    <row r="18">
      <c r="A18" s="17" t="inlineStr">
        <is>
          <t xml:space="preserve">  Debt Repayments</t>
        </is>
      </c>
      <c r="B18" s="26" t="n">
        <v>-240</v>
      </c>
      <c r="C18" s="26" t="n">
        <v>-245</v>
      </c>
      <c r="D18" s="26" t="n">
        <v>-250</v>
      </c>
      <c r="E18" s="26" t="n">
        <v>-260</v>
      </c>
      <c r="F18" s="26" t="n">
        <v>-270</v>
      </c>
      <c r="G18" s="44">
        <f>-Assumptions!G49</f>
        <v/>
      </c>
      <c r="H18" s="44">
        <f>-Assumptions!H49</f>
        <v/>
      </c>
      <c r="I18" s="44">
        <f>-Assumptions!I49</f>
        <v/>
      </c>
      <c r="J18" s="44">
        <f>-Assumptions!J49</f>
        <v/>
      </c>
      <c r="K18" s="44">
        <f>-Assumptions!K49</f>
        <v/>
      </c>
      <c r="L18" s="44">
        <f>-Assumptions!L49</f>
        <v/>
      </c>
      <c r="M18" s="44">
        <f>-Assumptions!M49</f>
        <v/>
      </c>
      <c r="N18" s="44">
        <f>-Assumptions!N49</f>
        <v/>
      </c>
      <c r="O18" s="44">
        <f>-Assumptions!O49</f>
        <v/>
      </c>
      <c r="P18" s="44">
        <f>-Assumptions!P49</f>
        <v/>
      </c>
    </row>
    <row r="19">
      <c r="A19" s="17" t="inlineStr">
        <is>
          <t xml:space="preserve">  Dividends Paid</t>
        </is>
      </c>
      <c r="B19" s="26" t="n">
        <v>-5.7</v>
      </c>
      <c r="C19" s="26" t="n">
        <v>-10.6</v>
      </c>
      <c r="D19" s="26" t="n">
        <v>-20.4</v>
      </c>
      <c r="E19" s="26" t="n">
        <v>-21.4</v>
      </c>
      <c r="F19" s="26" t="n">
        <v>-33.5</v>
      </c>
      <c r="G19" s="44">
        <f>-'Income Statement'!G29</f>
        <v/>
      </c>
      <c r="H19" s="44">
        <f>-'Income Statement'!H29</f>
        <v/>
      </c>
      <c r="I19" s="44">
        <f>-'Income Statement'!I29</f>
        <v/>
      </c>
      <c r="J19" s="44">
        <f>-'Income Statement'!J29</f>
        <v/>
      </c>
      <c r="K19" s="44">
        <f>-'Income Statement'!K29</f>
        <v/>
      </c>
      <c r="L19" s="44">
        <f>-'Income Statement'!L29</f>
        <v/>
      </c>
      <c r="M19" s="44">
        <f>-'Income Statement'!M29</f>
        <v/>
      </c>
      <c r="N19" s="44">
        <f>-'Income Statement'!N29</f>
        <v/>
      </c>
      <c r="O19" s="44">
        <f>-'Income Statement'!O29</f>
        <v/>
      </c>
      <c r="P19" s="44">
        <f>-'Income Statement'!P29</f>
        <v/>
      </c>
    </row>
    <row r="20">
      <c r="A20" s="17" t="inlineStr">
        <is>
          <t xml:space="preserve">  Net Cash from Financing Activities</t>
        </is>
      </c>
      <c r="B20" s="45" t="n">
        <v>54.3</v>
      </c>
      <c r="C20" s="45" t="n">
        <v>54.4</v>
      </c>
      <c r="D20" s="45" t="n">
        <v>49.6</v>
      </c>
      <c r="E20" s="45" t="n">
        <v>58.6</v>
      </c>
      <c r="F20" s="45" t="n">
        <v>56.5</v>
      </c>
      <c r="G20" s="42">
        <f>G17+G18+G19</f>
        <v/>
      </c>
      <c r="H20" s="42">
        <f>H17+H18+H19</f>
        <v/>
      </c>
      <c r="I20" s="42">
        <f>I17+I18+I19</f>
        <v/>
      </c>
      <c r="J20" s="42">
        <f>J17+J18+J19</f>
        <v/>
      </c>
      <c r="K20" s="42">
        <f>K17+K18+K19</f>
        <v/>
      </c>
      <c r="L20" s="42">
        <f>L17+L18+L19</f>
        <v/>
      </c>
      <c r="M20" s="42">
        <f>M17+M18+M19</f>
        <v/>
      </c>
      <c r="N20" s="42">
        <f>N17+N18+N19</f>
        <v/>
      </c>
      <c r="O20" s="42">
        <f>O17+O18+O19</f>
        <v/>
      </c>
      <c r="P20" s="42">
        <f>P17+P18+P19</f>
        <v/>
      </c>
    </row>
    <row r="22">
      <c r="A22" s="17" t="inlineStr">
        <is>
          <t>Net Change in Cash</t>
        </is>
      </c>
      <c r="B22" s="45" t="n">
        <v>10.3</v>
      </c>
      <c r="C22" s="45" t="n">
        <v>1.2</v>
      </c>
      <c r="D22" s="45" t="n">
        <v>-6.5</v>
      </c>
      <c r="E22" s="45" t="n">
        <v>-8.9</v>
      </c>
      <c r="F22" s="45" t="n">
        <v>-10.7</v>
      </c>
      <c r="G22" s="42">
        <f>G10+G14+G20</f>
        <v/>
      </c>
      <c r="H22" s="42">
        <f>H10+H14+H20</f>
        <v/>
      </c>
      <c r="I22" s="42">
        <f>I10+I14+I20</f>
        <v/>
      </c>
      <c r="J22" s="42">
        <f>J10+J14+J20</f>
        <v/>
      </c>
      <c r="K22" s="42">
        <f>K10+K14+K20</f>
        <v/>
      </c>
      <c r="L22" s="42">
        <f>L10+L14+L20</f>
        <v/>
      </c>
      <c r="M22" s="42">
        <f>M10+M14+M20</f>
        <v/>
      </c>
      <c r="N22" s="42">
        <f>N10+N14+N20</f>
        <v/>
      </c>
      <c r="O22" s="42">
        <f>O10+O14+O20</f>
        <v/>
      </c>
      <c r="P22" s="42">
        <f>P10+P14+P20</f>
        <v/>
      </c>
    </row>
    <row r="23">
      <c r="A23" s="17" t="inlineStr">
        <is>
          <t>Opening Cash Balance</t>
        </is>
      </c>
      <c r="B23" s="26" t="n">
        <v>120</v>
      </c>
      <c r="C23" s="26" t="n">
        <v>130.3</v>
      </c>
      <c r="D23" s="26" t="n">
        <v>131.5</v>
      </c>
      <c r="E23" s="26" t="n">
        <v>125</v>
      </c>
      <c r="F23" s="26" t="n">
        <v>116.1</v>
      </c>
      <c r="G23" s="44">
        <f>'Balance Sheet'!F5</f>
        <v/>
      </c>
      <c r="H23" s="44">
        <f>G24</f>
        <v/>
      </c>
      <c r="I23" s="44">
        <f>H24</f>
        <v/>
      </c>
      <c r="J23" s="44">
        <f>I24</f>
        <v/>
      </c>
      <c r="K23" s="44">
        <f>J24</f>
        <v/>
      </c>
      <c r="L23" s="44">
        <f>K24</f>
        <v/>
      </c>
      <c r="M23" s="44">
        <f>L24</f>
        <v/>
      </c>
      <c r="N23" s="44">
        <f>M24</f>
        <v/>
      </c>
      <c r="O23" s="44">
        <f>N24</f>
        <v/>
      </c>
      <c r="P23" s="44">
        <f>O24</f>
        <v/>
      </c>
    </row>
    <row r="24">
      <c r="A24" s="17" t="inlineStr">
        <is>
          <t>Closing Cash Balance</t>
        </is>
      </c>
      <c r="B24" s="45" t="n">
        <v>130.3</v>
      </c>
      <c r="C24" s="45" t="n">
        <v>131.5</v>
      </c>
      <c r="D24" s="45" t="n">
        <v>125</v>
      </c>
      <c r="E24" s="45" t="n">
        <v>116.1</v>
      </c>
      <c r="F24" s="45" t="n">
        <v>105.4</v>
      </c>
      <c r="G24" s="42">
        <f>G23+G22</f>
        <v/>
      </c>
      <c r="H24" s="42">
        <f>H23+H22</f>
        <v/>
      </c>
      <c r="I24" s="42">
        <f>I23+I22</f>
        <v/>
      </c>
      <c r="J24" s="42">
        <f>J23+J22</f>
        <v/>
      </c>
      <c r="K24" s="42">
        <f>K23+K22</f>
        <v/>
      </c>
      <c r="L24" s="42">
        <f>L23+L22</f>
        <v/>
      </c>
      <c r="M24" s="42">
        <f>M23+M22</f>
        <v/>
      </c>
      <c r="N24" s="42">
        <f>N23+N22</f>
        <v/>
      </c>
      <c r="O24" s="42">
        <f>O23+O22</f>
        <v/>
      </c>
      <c r="P24" s="42">
        <f>P23+P22</f>
        <v/>
      </c>
    </row>
  </sheetData>
  <mergeCells count="1">
    <mergeCell ref="A1:P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Q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8" t="inlineStr">
        <is>
          <t>MODEL CHECKS — Balance Sheet | CFS Roll-Forward | RAB Integrity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BALANCE SHEET CHECK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Total Assets</t>
        </is>
      </c>
      <c r="B5" s="26">
        <f>'Balance Sheet'!B14</f>
        <v/>
      </c>
      <c r="C5" s="26">
        <f>'Balance Sheet'!C14</f>
        <v/>
      </c>
      <c r="D5" s="26">
        <f>'Balance Sheet'!D14</f>
        <v/>
      </c>
      <c r="E5" s="26">
        <f>'Balance Sheet'!E14</f>
        <v/>
      </c>
      <c r="F5" s="26">
        <f>'Balance Sheet'!F14</f>
        <v/>
      </c>
      <c r="G5" s="44">
        <f>'Balance Sheet'!G14</f>
        <v/>
      </c>
      <c r="H5" s="44">
        <f>'Balance Sheet'!H14</f>
        <v/>
      </c>
      <c r="I5" s="44">
        <f>'Balance Sheet'!I14</f>
        <v/>
      </c>
      <c r="J5" s="44">
        <f>'Balance Sheet'!J14</f>
        <v/>
      </c>
      <c r="K5" s="44">
        <f>'Balance Sheet'!K14</f>
        <v/>
      </c>
      <c r="L5" s="44">
        <f>'Balance Sheet'!L14</f>
        <v/>
      </c>
      <c r="M5" s="44">
        <f>'Balance Sheet'!M14</f>
        <v/>
      </c>
      <c r="N5" s="44">
        <f>'Balance Sheet'!N14</f>
        <v/>
      </c>
      <c r="O5" s="44">
        <f>'Balance Sheet'!O14</f>
        <v/>
      </c>
      <c r="P5" s="44">
        <f>'Balance Sheet'!P14</f>
        <v/>
      </c>
    </row>
    <row r="6">
      <c r="A6" s="17" t="inlineStr">
        <is>
          <t xml:space="preserve">  Total Liabilities &amp; Equity</t>
        </is>
      </c>
      <c r="B6" s="26">
        <f>'Balance Sheet'!B29</f>
        <v/>
      </c>
      <c r="C6" s="26">
        <f>'Balance Sheet'!C29</f>
        <v/>
      </c>
      <c r="D6" s="26">
        <f>'Balance Sheet'!D29</f>
        <v/>
      </c>
      <c r="E6" s="26">
        <f>'Balance Sheet'!E29</f>
        <v/>
      </c>
      <c r="F6" s="26">
        <f>'Balance Sheet'!F29</f>
        <v/>
      </c>
      <c r="G6" s="44">
        <f>'Balance Sheet'!G29</f>
        <v/>
      </c>
      <c r="H6" s="44">
        <f>'Balance Sheet'!H29</f>
        <v/>
      </c>
      <c r="I6" s="44">
        <f>'Balance Sheet'!I29</f>
        <v/>
      </c>
      <c r="J6" s="44">
        <f>'Balance Sheet'!J29</f>
        <v/>
      </c>
      <c r="K6" s="44">
        <f>'Balance Sheet'!K29</f>
        <v/>
      </c>
      <c r="L6" s="44">
        <f>'Balance Sheet'!L29</f>
        <v/>
      </c>
      <c r="M6" s="44">
        <f>'Balance Sheet'!M29</f>
        <v/>
      </c>
      <c r="N6" s="44">
        <f>'Balance Sheet'!N29</f>
        <v/>
      </c>
      <c r="O6" s="44">
        <f>'Balance Sheet'!O29</f>
        <v/>
      </c>
      <c r="P6" s="44">
        <f>'Balance Sheet'!P29</f>
        <v/>
      </c>
    </row>
    <row r="7">
      <c r="A7" s="17" t="inlineStr">
        <is>
          <t xml:space="preserve">  Discrepancy (target = 0)</t>
        </is>
      </c>
      <c r="B7" s="69">
        <f>B5-B6</f>
        <v/>
      </c>
      <c r="C7" s="69">
        <f>C5-C6</f>
        <v/>
      </c>
      <c r="D7" s="69">
        <f>D5-D6</f>
        <v/>
      </c>
      <c r="E7" s="69">
        <f>E5-E6</f>
        <v/>
      </c>
      <c r="F7" s="69">
        <f>F5-F6</f>
        <v/>
      </c>
      <c r="G7" s="70">
        <f>G5-G6</f>
        <v/>
      </c>
      <c r="H7" s="70">
        <f>H5-H6</f>
        <v/>
      </c>
      <c r="I7" s="70">
        <f>I5-I6</f>
        <v/>
      </c>
      <c r="J7" s="70">
        <f>J5-J6</f>
        <v/>
      </c>
      <c r="K7" s="70">
        <f>K5-K6</f>
        <v/>
      </c>
      <c r="L7" s="70">
        <f>L5-L6</f>
        <v/>
      </c>
      <c r="M7" s="70">
        <f>M5-M6</f>
        <v/>
      </c>
      <c r="N7" s="70">
        <f>N5-N6</f>
        <v/>
      </c>
      <c r="O7" s="70">
        <f>O5-O6</f>
        <v/>
      </c>
      <c r="P7" s="70">
        <f>P5-P6</f>
        <v/>
      </c>
    </row>
    <row r="9" ht="16" customHeight="1">
      <c r="A9" s="15" t="inlineStr">
        <is>
          <t>CFS ROLL-FORWARD CHECK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Closing Cash (Balance Sheet)</t>
        </is>
      </c>
      <c r="B10" s="26">
        <f>'Balance Sheet'!B5</f>
        <v/>
      </c>
      <c r="C10" s="26">
        <f>'Balance Sheet'!C5</f>
        <v/>
      </c>
      <c r="D10" s="26">
        <f>'Balance Sheet'!D5</f>
        <v/>
      </c>
      <c r="E10" s="26">
        <f>'Balance Sheet'!E5</f>
        <v/>
      </c>
      <c r="F10" s="26">
        <f>'Balance Sheet'!F5</f>
        <v/>
      </c>
      <c r="G10" s="44">
        <f>'Balance Sheet'!G5</f>
        <v/>
      </c>
      <c r="H10" s="44">
        <f>'Balance Sheet'!H5</f>
        <v/>
      </c>
      <c r="I10" s="44">
        <f>'Balance Sheet'!I5</f>
        <v/>
      </c>
      <c r="J10" s="44">
        <f>'Balance Sheet'!J5</f>
        <v/>
      </c>
      <c r="K10" s="44">
        <f>'Balance Sheet'!K5</f>
        <v/>
      </c>
      <c r="L10" s="44">
        <f>'Balance Sheet'!L5</f>
        <v/>
      </c>
      <c r="M10" s="44">
        <f>'Balance Sheet'!M5</f>
        <v/>
      </c>
      <c r="N10" s="44">
        <f>'Balance Sheet'!N5</f>
        <v/>
      </c>
      <c r="O10" s="44">
        <f>'Balance Sheet'!O5</f>
        <v/>
      </c>
      <c r="P10" s="44">
        <f>'Balance Sheet'!P5</f>
        <v/>
      </c>
    </row>
    <row r="11">
      <c r="A11" s="17" t="inlineStr">
        <is>
          <t xml:space="preserve">  Closing Cash (Cash Flow)</t>
        </is>
      </c>
      <c r="B11" s="26">
        <f>'Cash Flow'!B24</f>
        <v/>
      </c>
      <c r="C11" s="26">
        <f>'Cash Flow'!C24</f>
        <v/>
      </c>
      <c r="D11" s="26">
        <f>'Cash Flow'!D24</f>
        <v/>
      </c>
      <c r="E11" s="26">
        <f>'Cash Flow'!E24</f>
        <v/>
      </c>
      <c r="F11" s="26">
        <f>'Cash Flow'!F24</f>
        <v/>
      </c>
      <c r="G11" s="44">
        <f>'Cash Flow'!G24</f>
        <v/>
      </c>
      <c r="H11" s="44">
        <f>'Cash Flow'!H24</f>
        <v/>
      </c>
      <c r="I11" s="44">
        <f>'Cash Flow'!I24</f>
        <v/>
      </c>
      <c r="J11" s="44">
        <f>'Cash Flow'!J24</f>
        <v/>
      </c>
      <c r="K11" s="44">
        <f>'Cash Flow'!K24</f>
        <v/>
      </c>
      <c r="L11" s="44">
        <f>'Cash Flow'!L24</f>
        <v/>
      </c>
      <c r="M11" s="44">
        <f>'Cash Flow'!M24</f>
        <v/>
      </c>
      <c r="N11" s="44">
        <f>'Cash Flow'!N24</f>
        <v/>
      </c>
      <c r="O11" s="44">
        <f>'Cash Flow'!O24</f>
        <v/>
      </c>
      <c r="P11" s="44">
        <f>'Cash Flow'!P24</f>
        <v/>
      </c>
    </row>
    <row r="12">
      <c r="A12" s="17" t="inlineStr">
        <is>
          <t xml:space="preserve">  Discrepancy (target = 0)</t>
        </is>
      </c>
      <c r="B12" s="69">
        <f>B10-B11</f>
        <v/>
      </c>
      <c r="C12" s="69">
        <f>C10-C11</f>
        <v/>
      </c>
      <c r="D12" s="69">
        <f>D10-D11</f>
        <v/>
      </c>
      <c r="E12" s="69">
        <f>E10-E11</f>
        <v/>
      </c>
      <c r="F12" s="69">
        <f>F10-F11</f>
        <v/>
      </c>
      <c r="G12" s="70">
        <f>G10-G11</f>
        <v/>
      </c>
      <c r="H12" s="70">
        <f>H10-H11</f>
        <v/>
      </c>
      <c r="I12" s="70">
        <f>I10-I11</f>
        <v/>
      </c>
      <c r="J12" s="70">
        <f>J10-J11</f>
        <v/>
      </c>
      <c r="K12" s="70">
        <f>K10-K11</f>
        <v/>
      </c>
      <c r="L12" s="70">
        <f>L10-L11</f>
        <v/>
      </c>
      <c r="M12" s="70">
        <f>M10-M11</f>
        <v/>
      </c>
      <c r="N12" s="70">
        <f>N10-N11</f>
        <v/>
      </c>
      <c r="O12" s="70">
        <f>O10-O11</f>
        <v/>
      </c>
      <c r="P12" s="70">
        <f>P10-P11</f>
        <v/>
      </c>
    </row>
    <row r="14" ht="16" customHeight="1">
      <c r="A14" s="15" t="inlineStr">
        <is>
          <t>RAB INTEGRITY CHECK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 xml:space="preserve">  Closing RAB (RAB sheet)</t>
        </is>
      </c>
      <c r="B15" s="26">
        <f>RAB!B9</f>
        <v/>
      </c>
      <c r="C15" s="26">
        <f>RAB!C9</f>
        <v/>
      </c>
      <c r="D15" s="26">
        <f>RAB!D9</f>
        <v/>
      </c>
      <c r="E15" s="26">
        <f>RAB!E9</f>
        <v/>
      </c>
      <c r="F15" s="26">
        <f>RAB!F9</f>
        <v/>
      </c>
      <c r="G15" s="44">
        <f>RAB!G9</f>
        <v/>
      </c>
      <c r="H15" s="44">
        <f>RAB!H9</f>
        <v/>
      </c>
      <c r="I15" s="44">
        <f>RAB!I9</f>
        <v/>
      </c>
      <c r="J15" s="44">
        <f>RAB!J9</f>
        <v/>
      </c>
      <c r="K15" s="44">
        <f>RAB!K9</f>
        <v/>
      </c>
      <c r="L15" s="44">
        <f>RAB!L9</f>
        <v/>
      </c>
      <c r="M15" s="44">
        <f>RAB!M9</f>
        <v/>
      </c>
      <c r="N15" s="44">
        <f>RAB!N9</f>
        <v/>
      </c>
      <c r="O15" s="44">
        <f>RAB!O9</f>
        <v/>
      </c>
      <c r="P15" s="44">
        <f>RAB!P9</f>
        <v/>
      </c>
    </row>
    <row r="16">
      <c r="A16" s="17" t="inlineStr">
        <is>
          <t xml:space="preserve">  Discrepancy (target = 0)</t>
        </is>
      </c>
      <c r="B16" s="69">
        <f>B15-B15</f>
        <v/>
      </c>
      <c r="C16" s="69">
        <f>C15-C15</f>
        <v/>
      </c>
      <c r="D16" s="69">
        <f>D15-D15</f>
        <v/>
      </c>
      <c r="E16" s="69">
        <f>E15-E15</f>
        <v/>
      </c>
      <c r="F16" s="69">
        <f>F15-F15</f>
        <v/>
      </c>
      <c r="G16" s="70">
        <f>G15-G15</f>
        <v/>
      </c>
      <c r="H16" s="70">
        <f>H15-H15</f>
        <v/>
      </c>
      <c r="I16" s="70">
        <f>I15-I15</f>
        <v/>
      </c>
      <c r="J16" s="70">
        <f>J15-J15</f>
        <v/>
      </c>
      <c r="K16" s="70">
        <f>K15-K15</f>
        <v/>
      </c>
      <c r="L16" s="70">
        <f>L15-L15</f>
        <v/>
      </c>
      <c r="M16" s="70">
        <f>M15-M15</f>
        <v/>
      </c>
      <c r="N16" s="70">
        <f>N15-N15</f>
        <v/>
      </c>
      <c r="O16" s="70">
        <f>O15-O15</f>
        <v/>
      </c>
      <c r="P16" s="70">
        <f>P15-P15</f>
        <v/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2026-05-11T20:35:01Z</dcterms:created>
  <dcterms:modified xsi:type="dcterms:W3CDTF">2026-05-11T20:35:02Z</dcterms:modified>
</cp:coreProperties>
</file>