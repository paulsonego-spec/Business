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REFM" sheetId="4" state="visible" r:id="rId4"/>
    <sheet name="Frontier" sheetId="5" state="visible" r:id="rId5"/>
    <sheet name="RAB" sheetId="6" state="visible" r:id="rId6"/>
    <sheet name="PTRM" sheetId="7" state="visible" r:id="rId7"/>
    <sheet name="Income Statement" sheetId="8" state="visible" r:id="rId8"/>
    <sheet name="Balance Sheet" sheetId="9" state="visible" r:id="rId9"/>
    <sheet name="Cash Flow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</fonts>
  <fills count="17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166" fontId="13" fillId="7" borderId="0" applyAlignment="1" pivotButton="0" quotePrefix="0" xfId="0">
      <alignment horizontal="right" vertical="center"/>
    </xf>
    <xf numFmtId="166" fontId="18" fillId="5" borderId="0" applyAlignment="1" pivotButton="0" quotePrefix="0" xfId="0">
      <alignment horizontal="right" vertical="center"/>
    </xf>
    <xf numFmtId="166" fontId="17" fillId="8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/>
    </xf>
    <xf numFmtId="0" fontId="9" fillId="12" borderId="0" applyAlignment="1" pivotButton="0" quotePrefix="0" xfId="0">
      <alignment horizontal="left" vertical="center"/>
    </xf>
    <xf numFmtId="0" fontId="9" fillId="13" borderId="0" applyAlignment="1" pivotButton="0" quotePrefix="0" xfId="0">
      <alignment horizontal="left" vertical="center"/>
    </xf>
    <xf numFmtId="166" fontId="18" fillId="14" borderId="0" applyAlignment="1" pivotButton="0" quotePrefix="0" xfId="0">
      <alignment horizontal="right" vertical="center"/>
    </xf>
    <xf numFmtId="0" fontId="9" fillId="15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1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1F4D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05 April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6B1B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36">
        <f>Assumptions!G23</f>
        <v/>
      </c>
      <c r="H5" s="36">
        <f>Assumptions!H23</f>
        <v/>
      </c>
      <c r="I5" s="36">
        <f>Assumptions!I23</f>
        <v/>
      </c>
      <c r="J5" s="36">
        <f>Assumptions!J23</f>
        <v/>
      </c>
      <c r="K5" s="36">
        <f>Assumptions!K23</f>
        <v/>
      </c>
      <c r="L5" s="36">
        <f>Assumptions!L23</f>
        <v/>
      </c>
      <c r="M5" s="36">
        <f>Assumptions!M23</f>
        <v/>
      </c>
      <c r="N5" s="36">
        <f>Assumptions!N23</f>
        <v/>
      </c>
      <c r="O5" s="36">
        <f>Assumptions!O23</f>
        <v/>
      </c>
      <c r="P5" s="36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36">
        <f>Assumptions!G24</f>
        <v/>
      </c>
      <c r="H6" s="36">
        <f>Assumptions!H24</f>
        <v/>
      </c>
      <c r="I6" s="36">
        <f>Assumptions!I24</f>
        <v/>
      </c>
      <c r="J6" s="36">
        <f>Assumptions!J24</f>
        <v/>
      </c>
      <c r="K6" s="36">
        <f>Assumptions!K24</f>
        <v/>
      </c>
      <c r="L6" s="36">
        <f>Assumptions!L24</f>
        <v/>
      </c>
      <c r="M6" s="36">
        <f>Assumptions!M24</f>
        <v/>
      </c>
      <c r="N6" s="36">
        <f>Assumptions!N24</f>
        <v/>
      </c>
      <c r="O6" s="36">
        <f>Assumptions!O24</f>
        <v/>
      </c>
      <c r="P6" s="36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36">
        <f>Assumptions!G25</f>
        <v/>
      </c>
      <c r="H7" s="36">
        <f>Assumptions!H25</f>
        <v/>
      </c>
      <c r="I7" s="36">
        <f>Assumptions!I25</f>
        <v/>
      </c>
      <c r="J7" s="36">
        <f>Assumptions!J25</f>
        <v/>
      </c>
      <c r="K7" s="36">
        <f>Assumptions!K25</f>
        <v/>
      </c>
      <c r="L7" s="36">
        <f>Assumptions!L25</f>
        <v/>
      </c>
      <c r="M7" s="36">
        <f>Assumptions!M25</f>
        <v/>
      </c>
      <c r="N7" s="36">
        <f>Assumptions!N25</f>
        <v/>
      </c>
      <c r="O7" s="36">
        <f>Assumptions!O25</f>
        <v/>
      </c>
      <c r="P7" s="36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36">
        <f>Assumptions!G26</f>
        <v/>
      </c>
      <c r="H8" s="36">
        <f>Assumptions!H26</f>
        <v/>
      </c>
      <c r="I8" s="36">
        <f>Assumptions!I26</f>
        <v/>
      </c>
      <c r="J8" s="36">
        <f>Assumptions!J26</f>
        <v/>
      </c>
      <c r="K8" s="36">
        <f>Assumptions!K26</f>
        <v/>
      </c>
      <c r="L8" s="36">
        <f>Assumptions!L26</f>
        <v/>
      </c>
      <c r="M8" s="36">
        <f>Assumptions!M26</f>
        <v/>
      </c>
      <c r="N8" s="36">
        <f>Assumptions!N26</f>
        <v/>
      </c>
      <c r="O8" s="36">
        <f>Assumptions!O26</f>
        <v/>
      </c>
      <c r="P8" s="36">
        <f>Assumptions!P26</f>
        <v/>
      </c>
    </row>
    <row r="9">
      <c r="A9" s="17" t="inlineStr">
        <is>
          <t>Total Opex</t>
        </is>
      </c>
      <c r="B9" s="37">
        <f>SUM(B5:B8)</f>
        <v/>
      </c>
      <c r="C9" s="37">
        <f>SUM(C5:C8)</f>
        <v/>
      </c>
      <c r="D9" s="37">
        <f>SUM(D5:D8)</f>
        <v/>
      </c>
      <c r="E9" s="37">
        <f>SUM(E5:E8)</f>
        <v/>
      </c>
      <c r="F9" s="37">
        <f>SUM(F5:F8)</f>
        <v/>
      </c>
      <c r="G9" s="37">
        <f>SUM(G5:G8)</f>
        <v/>
      </c>
      <c r="H9" s="37">
        <f>SUM(H5:H8)</f>
        <v/>
      </c>
      <c r="I9" s="37">
        <f>SUM(I5:I8)</f>
        <v/>
      </c>
      <c r="J9" s="37">
        <f>SUM(J5:J8)</f>
        <v/>
      </c>
      <c r="K9" s="37">
        <f>SUM(K5:K8)</f>
        <v/>
      </c>
      <c r="L9" s="37">
        <f>SUM(L5:L8)</f>
        <v/>
      </c>
      <c r="M9" s="37">
        <f>SUM(M5:M8)</f>
        <v/>
      </c>
      <c r="N9" s="37">
        <f>SUM(N5:N8)</f>
        <v/>
      </c>
      <c r="O9" s="37">
        <f>SUM(O5:O8)</f>
        <v/>
      </c>
      <c r="P9" s="37">
        <f>SUM(P5:P8)</f>
        <v/>
      </c>
    </row>
    <row r="11" ht="16" customHeight="1">
      <c r="A11" s="15" t="inlineStr">
        <is>
          <t>Capital Expenditure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36">
        <f>Assumptions!G29</f>
        <v/>
      </c>
      <c r="H12" s="36">
        <f>Assumptions!H29</f>
        <v/>
      </c>
      <c r="I12" s="36">
        <f>Assumptions!I29</f>
        <v/>
      </c>
      <c r="J12" s="36">
        <f>Assumptions!J29</f>
        <v/>
      </c>
      <c r="K12" s="36">
        <f>Assumptions!K29</f>
        <v/>
      </c>
      <c r="L12" s="36">
        <f>Assumptions!L29</f>
        <v/>
      </c>
      <c r="M12" s="36">
        <f>Assumptions!M29</f>
        <v/>
      </c>
      <c r="N12" s="36">
        <f>Assumptions!N29</f>
        <v/>
      </c>
      <c r="O12" s="36">
        <f>Assumptions!O29</f>
        <v/>
      </c>
      <c r="P12" s="36">
        <f>Assumptions!P29</f>
        <v/>
      </c>
    </row>
    <row r="13">
      <c r="A13" s="17" t="inlineStr">
        <is>
          <t xml:space="preserve">  Replacement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36">
        <f>Assumptions!G30</f>
        <v/>
      </c>
      <c r="H13" s="36">
        <f>Assumptions!H30</f>
        <v/>
      </c>
      <c r="I13" s="36">
        <f>Assumptions!I30</f>
        <v/>
      </c>
      <c r="J13" s="36">
        <f>Assumptions!J30</f>
        <v/>
      </c>
      <c r="K13" s="36">
        <f>Assumptions!K30</f>
        <v/>
      </c>
      <c r="L13" s="36">
        <f>Assumptions!L30</f>
        <v/>
      </c>
      <c r="M13" s="36">
        <f>Assumptions!M30</f>
        <v/>
      </c>
      <c r="N13" s="36">
        <f>Assumptions!N30</f>
        <v/>
      </c>
      <c r="O13" s="36">
        <f>Assumptions!O30</f>
        <v/>
      </c>
      <c r="P13" s="36">
        <f>Assumptions!P30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36">
        <f>Assumptions!G31</f>
        <v/>
      </c>
      <c r="H14" s="36">
        <f>Assumptions!H31</f>
        <v/>
      </c>
      <c r="I14" s="36">
        <f>Assumptions!I31</f>
        <v/>
      </c>
      <c r="J14" s="36">
        <f>Assumptions!J31</f>
        <v/>
      </c>
      <c r="K14" s="36">
        <f>Assumptions!K31</f>
        <v/>
      </c>
      <c r="L14" s="36">
        <f>Assumptions!L31</f>
        <v/>
      </c>
      <c r="M14" s="36">
        <f>Assumptions!M31</f>
        <v/>
      </c>
      <c r="N14" s="36">
        <f>Assumptions!N31</f>
        <v/>
      </c>
      <c r="O14" s="36">
        <f>Assumptions!O31</f>
        <v/>
      </c>
      <c r="P14" s="36">
        <f>Assumptions!P31</f>
        <v/>
      </c>
    </row>
    <row r="15">
      <c r="A15" s="17" t="inlineStr">
        <is>
          <t>Total Capex</t>
        </is>
      </c>
      <c r="B15" s="37">
        <f>SUM(B12:B14)</f>
        <v/>
      </c>
      <c r="C15" s="37">
        <f>SUM(C12:C14)</f>
        <v/>
      </c>
      <c r="D15" s="37">
        <f>SUM(D12:D14)</f>
        <v/>
      </c>
      <c r="E15" s="37">
        <f>SUM(E12:E14)</f>
        <v/>
      </c>
      <c r="F15" s="37">
        <f>SUM(F12:F14)</f>
        <v/>
      </c>
      <c r="G15" s="37">
        <f>SUM(G12:G14)</f>
        <v/>
      </c>
      <c r="H15" s="37">
        <f>SUM(H12:H14)</f>
        <v/>
      </c>
      <c r="I15" s="37">
        <f>SUM(I12:I14)</f>
        <v/>
      </c>
      <c r="J15" s="37">
        <f>SUM(J12:J14)</f>
        <v/>
      </c>
      <c r="K15" s="37">
        <f>SUM(K12:K14)</f>
        <v/>
      </c>
      <c r="L15" s="37">
        <f>SUM(L12:L14)</f>
        <v/>
      </c>
      <c r="M15" s="37">
        <f>SUM(M12:M14)</f>
        <v/>
      </c>
      <c r="N15" s="37">
        <f>SUM(N12:N14)</f>
        <v/>
      </c>
      <c r="O15" s="37">
        <f>SUM(O12:O14)</f>
        <v/>
      </c>
      <c r="P15" s="37">
        <f>SUM(P12:P14)</f>
        <v/>
      </c>
    </row>
    <row r="17" ht="16" customHeight="1">
      <c r="A17" s="15" t="inlineStr">
        <is>
          <t>Opex Variance Analysis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36">
        <f>PTRM!G7</f>
        <v/>
      </c>
      <c r="H18" s="36">
        <f>PTRM!H7</f>
        <v/>
      </c>
      <c r="I18" s="36">
        <f>PTRM!I7</f>
        <v/>
      </c>
      <c r="J18" s="36">
        <f>PTRM!J7</f>
        <v/>
      </c>
      <c r="K18" s="36">
        <f>PTRM!K7</f>
        <v/>
      </c>
      <c r="L18" s="36">
        <f>PTRM!L7</f>
        <v/>
      </c>
      <c r="M18" s="36">
        <f>PTRM!M7</f>
        <v/>
      </c>
      <c r="N18" s="36">
        <f>PTRM!N7</f>
        <v/>
      </c>
      <c r="O18" s="36">
        <f>PTRM!O7</f>
        <v/>
      </c>
      <c r="P18" s="36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36">
        <f>G9</f>
        <v/>
      </c>
      <c r="H19" s="36">
        <f>H9</f>
        <v/>
      </c>
      <c r="I19" s="36">
        <f>I9</f>
        <v/>
      </c>
      <c r="J19" s="36">
        <f>J9</f>
        <v/>
      </c>
      <c r="K19" s="36">
        <f>K9</f>
        <v/>
      </c>
      <c r="L19" s="36">
        <f>L9</f>
        <v/>
      </c>
      <c r="M19" s="36">
        <f>M9</f>
        <v/>
      </c>
      <c r="N19" s="36">
        <f>N9</f>
        <v/>
      </c>
      <c r="O19" s="36">
        <f>O9</f>
        <v/>
      </c>
      <c r="P19" s="36">
        <f>P9</f>
        <v/>
      </c>
    </row>
    <row r="20">
      <c r="A20" s="17" t="inlineStr">
        <is>
          <t xml:space="preserve">  Variance (Allowed − Actual)</t>
        </is>
      </c>
      <c r="B20" s="38">
        <f>B18-B19</f>
        <v/>
      </c>
      <c r="C20" s="38">
        <f>C18-C19</f>
        <v/>
      </c>
      <c r="D20" s="38">
        <f>D18-D19</f>
        <v/>
      </c>
      <c r="E20" s="38">
        <f>E18-E19</f>
        <v/>
      </c>
      <c r="F20" s="38">
        <f>F18-F19</f>
        <v/>
      </c>
      <c r="G20" s="39">
        <f>G18-G19</f>
        <v/>
      </c>
      <c r="H20" s="39">
        <f>H18-H19</f>
        <v/>
      </c>
      <c r="I20" s="39">
        <f>I18-I19</f>
        <v/>
      </c>
      <c r="J20" s="39">
        <f>J18-J19</f>
        <v/>
      </c>
      <c r="K20" s="39">
        <f>K18-K19</f>
        <v/>
      </c>
      <c r="L20" s="39">
        <f>L18-L19</f>
        <v/>
      </c>
      <c r="M20" s="39">
        <f>M18-M19</f>
        <v/>
      </c>
      <c r="N20" s="39">
        <f>N18-N19</f>
        <v/>
      </c>
      <c r="O20" s="39">
        <f>O18-O19</f>
        <v/>
      </c>
      <c r="P20" s="39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36">
        <f>MAX(G20,0)*$B$23</f>
        <v/>
      </c>
      <c r="H24" s="36">
        <f>MAX(H20,0)*$B$23</f>
        <v/>
      </c>
      <c r="I24" s="36">
        <f>MAX(I20,0)*$B$23</f>
        <v/>
      </c>
      <c r="J24" s="36">
        <f>MAX(J20,0)*$B$23</f>
        <v/>
      </c>
      <c r="K24" s="36">
        <f>MAX(K20,0)*$B$23</f>
        <v/>
      </c>
      <c r="L24" s="36">
        <f>MAX(L20,0)*$B$23</f>
        <v/>
      </c>
      <c r="M24" s="36">
        <f>MAX(M20,0)*$B$23</f>
        <v/>
      </c>
      <c r="N24" s="36">
        <f>MAX(N20,0)*$B$23</f>
        <v/>
      </c>
      <c r="O24" s="36">
        <f>MAX(O20,0)*$B$23</f>
        <v/>
      </c>
      <c r="P24" s="36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0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36">
        <f>REFM!G9</f>
        <v/>
      </c>
      <c r="H6" s="36">
        <f>REFM!H9</f>
        <v/>
      </c>
      <c r="I6" s="36">
        <f>REFM!I9</f>
        <v/>
      </c>
      <c r="J6" s="36">
        <f>REFM!J9</f>
        <v/>
      </c>
      <c r="K6" s="36">
        <f>REFM!K9</f>
        <v/>
      </c>
      <c r="L6" s="36">
        <f>REFM!L9</f>
        <v/>
      </c>
      <c r="M6" s="36">
        <f>REFM!M9</f>
        <v/>
      </c>
      <c r="N6" s="36">
        <f>REFM!N9</f>
        <v/>
      </c>
      <c r="O6" s="36">
        <f>REFM!O9</f>
        <v/>
      </c>
      <c r="P6" s="36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36">
        <f>REFM!G9*G5*Assumptions!$B$57</f>
        <v/>
      </c>
      <c r="H7" s="36">
        <f>REFM!H9*H5*Assumptions!$B$57</f>
        <v/>
      </c>
      <c r="I7" s="36">
        <f>REFM!I9*I5*Assumptions!$B$57</f>
        <v/>
      </c>
      <c r="J7" s="36">
        <f>REFM!J9*J5*Assumptions!$B$57</f>
        <v/>
      </c>
      <c r="K7" s="36">
        <f>REFM!K9*K5*Assumptions!$B$57</f>
        <v/>
      </c>
      <c r="L7" s="36">
        <f>REFM!L9*L5*Assumptions!$B$57</f>
        <v/>
      </c>
      <c r="M7" s="36">
        <f>REFM!M9*M5*Assumptions!$B$57</f>
        <v/>
      </c>
      <c r="N7" s="36">
        <f>REFM!N9*N5*Assumptions!$B$57</f>
        <v/>
      </c>
      <c r="O7" s="36">
        <f>REFM!O9*O5*Assumptions!$B$57</f>
        <v/>
      </c>
      <c r="P7" s="36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36">
        <f>REFM!G15</f>
        <v/>
      </c>
      <c r="H8" s="36">
        <f>REFM!H15</f>
        <v/>
      </c>
      <c r="I8" s="36">
        <f>REFM!I15</f>
        <v/>
      </c>
      <c r="J8" s="36">
        <f>REFM!J15</f>
        <v/>
      </c>
      <c r="K8" s="36">
        <f>REFM!K15</f>
        <v/>
      </c>
      <c r="L8" s="36">
        <f>REFM!L15</f>
        <v/>
      </c>
      <c r="M8" s="36">
        <f>REFM!M15</f>
        <v/>
      </c>
      <c r="N8" s="36">
        <f>REFM!N15</f>
        <v/>
      </c>
      <c r="O8" s="36">
        <f>REFM!O15</f>
        <v/>
      </c>
      <c r="P8" s="36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36">
        <f>REFM!G15*Assumptions!$B$58</f>
        <v/>
      </c>
      <c r="H9" s="36">
        <f>REFM!H15*Assumptions!$B$58</f>
        <v/>
      </c>
      <c r="I9" s="36">
        <f>REFM!I15*Assumptions!$B$58</f>
        <v/>
      </c>
      <c r="J9" s="36">
        <f>REFM!J15*Assumptions!$B$58</f>
        <v/>
      </c>
      <c r="K9" s="36">
        <f>REFM!K15*Assumptions!$B$58</f>
        <v/>
      </c>
      <c r="L9" s="36">
        <f>REFM!L15*Assumptions!$B$58</f>
        <v/>
      </c>
      <c r="M9" s="36">
        <f>REFM!M15*Assumptions!$B$58</f>
        <v/>
      </c>
      <c r="N9" s="36">
        <f>REFM!N15*Assumptions!$B$58</f>
        <v/>
      </c>
      <c r="O9" s="36">
        <f>REFM!O15*Assumptions!$B$58</f>
        <v/>
      </c>
      <c r="P9" s="36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3F0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1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36">
        <f>F9</f>
        <v/>
      </c>
      <c r="H5" s="36">
        <f>G9</f>
        <v/>
      </c>
      <c r="I5" s="36">
        <f>H9</f>
        <v/>
      </c>
      <c r="J5" s="36">
        <f>I9</f>
        <v/>
      </c>
      <c r="K5" s="36">
        <f>J9</f>
        <v/>
      </c>
      <c r="L5" s="36">
        <f>K9</f>
        <v/>
      </c>
      <c r="M5" s="36">
        <f>L9</f>
        <v/>
      </c>
      <c r="N5" s="36">
        <f>M9</f>
        <v/>
      </c>
      <c r="O5" s="36">
        <f>N9</f>
        <v/>
      </c>
      <c r="P5" s="36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36">
        <f>G5*Assumptions!G15</f>
        <v/>
      </c>
      <c r="H6" s="36">
        <f>H5*Assumptions!H15</f>
        <v/>
      </c>
      <c r="I6" s="36">
        <f>I5*Assumptions!I15</f>
        <v/>
      </c>
      <c r="J6" s="36">
        <f>J5*Assumptions!J15</f>
        <v/>
      </c>
      <c r="K6" s="36">
        <f>K5*Assumptions!K15</f>
        <v/>
      </c>
      <c r="L6" s="36">
        <f>L5*Assumptions!L15</f>
        <v/>
      </c>
      <c r="M6" s="36">
        <f>M5*Assumptions!M15</f>
        <v/>
      </c>
      <c r="N6" s="36">
        <f>N5*Assumptions!N15</f>
        <v/>
      </c>
      <c r="O6" s="36">
        <f>O5*Assumptions!O15</f>
        <v/>
      </c>
      <c r="P6" s="36">
        <f>P5*Assumptions!P15</f>
        <v/>
      </c>
    </row>
    <row r="7">
      <c r="A7" s="17" t="inlineStr">
        <is>
          <t xml:space="preserve">  + Capex Additions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36">
        <f>REFM!G15</f>
        <v/>
      </c>
      <c r="H7" s="36">
        <f>REFM!H15</f>
        <v/>
      </c>
      <c r="I7" s="36">
        <f>REFM!I15</f>
        <v/>
      </c>
      <c r="J7" s="36">
        <f>REFM!J15</f>
        <v/>
      </c>
      <c r="K7" s="36">
        <f>REFM!K15</f>
        <v/>
      </c>
      <c r="L7" s="36">
        <f>REFM!L15</f>
        <v/>
      </c>
      <c r="M7" s="36">
        <f>REFM!M15</f>
        <v/>
      </c>
      <c r="N7" s="36">
        <f>REFM!N15</f>
        <v/>
      </c>
      <c r="O7" s="36">
        <f>REFM!O15</f>
        <v/>
      </c>
      <c r="P7" s="36">
        <f>REFM!P15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36">
        <f>G5/Assumptions!$B$35</f>
        <v/>
      </c>
      <c r="H8" s="36">
        <f>H5/Assumptions!$B$35</f>
        <v/>
      </c>
      <c r="I8" s="36">
        <f>I5/Assumptions!$B$35</f>
        <v/>
      </c>
      <c r="J8" s="36">
        <f>J5/Assumptions!$B$35</f>
        <v/>
      </c>
      <c r="K8" s="36">
        <f>K5/Assumptions!$B$35</f>
        <v/>
      </c>
      <c r="L8" s="36">
        <f>L5/Assumptions!$B$35</f>
        <v/>
      </c>
      <c r="M8" s="36">
        <f>M5/Assumptions!$B$35</f>
        <v/>
      </c>
      <c r="N8" s="36">
        <f>N5/Assumptions!$B$35</f>
        <v/>
      </c>
      <c r="O8" s="36">
        <f>O5/Assumptions!$B$35</f>
        <v/>
      </c>
      <c r="P8" s="36">
        <f>P5/Assumptions!$B$35</f>
        <v/>
      </c>
    </row>
    <row r="9">
      <c r="A9" s="17" t="inlineStr">
        <is>
          <t xml:space="preserve">  = Closing RAB</t>
        </is>
      </c>
      <c r="B9" s="37">
        <f>B5+B6+B7-B8</f>
        <v/>
      </c>
      <c r="C9" s="37">
        <f>C5+C6+C7-C8</f>
        <v/>
      </c>
      <c r="D9" s="37">
        <f>D5+D6+D7-D8</f>
        <v/>
      </c>
      <c r="E9" s="37">
        <f>E5+E6+E7-E8</f>
        <v/>
      </c>
      <c r="F9" s="37">
        <f>F5+F6+F7-F8</f>
        <v/>
      </c>
      <c r="G9" s="37">
        <f>G5+G6+G7-G8</f>
        <v/>
      </c>
      <c r="H9" s="37">
        <f>H5+H6+H7-H8</f>
        <v/>
      </c>
      <c r="I9" s="37">
        <f>I5+I6+I7-I8</f>
        <v/>
      </c>
      <c r="J9" s="37">
        <f>J5+J6+J7-J8</f>
        <v/>
      </c>
      <c r="K9" s="37">
        <f>K5+K6+K7-K8</f>
        <v/>
      </c>
      <c r="L9" s="37">
        <f>L5+L6+L7-L8</f>
        <v/>
      </c>
      <c r="M9" s="37">
        <f>M5+M6+M7-M8</f>
        <v/>
      </c>
      <c r="N9" s="37">
        <f>N5+N6+N7-N8</f>
        <v/>
      </c>
      <c r="O9" s="37">
        <f>O5+O6+O7-O8</f>
        <v/>
      </c>
      <c r="P9" s="37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36">
        <f>(G5+G9)/2</f>
        <v/>
      </c>
      <c r="H11" s="36">
        <f>(H5+H9)/2</f>
        <v/>
      </c>
      <c r="I11" s="36">
        <f>(I5+I9)/2</f>
        <v/>
      </c>
      <c r="J11" s="36">
        <f>(J5+J9)/2</f>
        <v/>
      </c>
      <c r="K11" s="36">
        <f>(K5+K9)/2</f>
        <v/>
      </c>
      <c r="L11" s="36">
        <f>(L5+L9)/2</f>
        <v/>
      </c>
      <c r="M11" s="36">
        <f>(M5+M9)/2</f>
        <v/>
      </c>
      <c r="N11" s="36">
        <f>(N5+N9)/2</f>
        <v/>
      </c>
      <c r="O11" s="36">
        <f>(O5+O9)/2</f>
        <v/>
      </c>
      <c r="P11" s="36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36">
        <f>F14+G8</f>
        <v/>
      </c>
      <c r="H14" s="36">
        <f>G14+H8</f>
        <v/>
      </c>
      <c r="I14" s="36">
        <f>H14+I8</f>
        <v/>
      </c>
      <c r="J14" s="36">
        <f>I14+J8</f>
        <v/>
      </c>
      <c r="K14" s="36">
        <f>J14+K8</f>
        <v/>
      </c>
      <c r="L14" s="36">
        <f>K14+L8</f>
        <v/>
      </c>
      <c r="M14" s="36">
        <f>L14+M8</f>
        <v/>
      </c>
      <c r="N14" s="36">
        <f>M14+N8</f>
        <v/>
      </c>
      <c r="O14" s="36">
        <f>N14+O8</f>
        <v/>
      </c>
      <c r="P14" s="36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3366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2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36">
        <f>RAB!G11*Assumptions!$B$5</f>
        <v/>
      </c>
      <c r="H5" s="36">
        <f>RAB!H11*Assumptions!$B$5</f>
        <v/>
      </c>
      <c r="I5" s="36">
        <f>RAB!I11*Assumptions!$B$5</f>
        <v/>
      </c>
      <c r="J5" s="36">
        <f>RAB!J11*Assumptions!$B$5</f>
        <v/>
      </c>
      <c r="K5" s="36">
        <f>RAB!K11*Assumptions!$B$5</f>
        <v/>
      </c>
      <c r="L5" s="36">
        <f>RAB!L11*Assumptions!$B$5</f>
        <v/>
      </c>
      <c r="M5" s="36">
        <f>RAB!M11*Assumptions!$B$5</f>
        <v/>
      </c>
      <c r="N5" s="36">
        <f>RAB!N11*Assumptions!$B$5</f>
        <v/>
      </c>
      <c r="O5" s="36">
        <f>RAB!O11*Assumptions!$B$5</f>
        <v/>
      </c>
      <c r="P5" s="36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36">
        <f>RAB!G8</f>
        <v/>
      </c>
      <c r="H6" s="36">
        <f>RAB!H8</f>
        <v/>
      </c>
      <c r="I6" s="36">
        <f>RAB!I8</f>
        <v/>
      </c>
      <c r="J6" s="36">
        <f>RAB!J8</f>
        <v/>
      </c>
      <c r="K6" s="36">
        <f>RAB!K8</f>
        <v/>
      </c>
      <c r="L6" s="36">
        <f>RAB!L8</f>
        <v/>
      </c>
      <c r="M6" s="36">
        <f>RAB!M8</f>
        <v/>
      </c>
      <c r="N6" s="36">
        <f>RAB!N8</f>
        <v/>
      </c>
      <c r="O6" s="36">
        <f>RAB!O8</f>
        <v/>
      </c>
      <c r="P6" s="36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36">
        <f>Frontier!G7</f>
        <v/>
      </c>
      <c r="H7" s="36">
        <f>Frontier!H7</f>
        <v/>
      </c>
      <c r="I7" s="36">
        <f>Frontier!I7</f>
        <v/>
      </c>
      <c r="J7" s="36">
        <f>Frontier!J7</f>
        <v/>
      </c>
      <c r="K7" s="36">
        <f>Frontier!K7</f>
        <v/>
      </c>
      <c r="L7" s="36">
        <f>Frontier!L7</f>
        <v/>
      </c>
      <c r="M7" s="36">
        <f>Frontier!M7</f>
        <v/>
      </c>
      <c r="N7" s="36">
        <f>Frontier!N7</f>
        <v/>
      </c>
      <c r="O7" s="36">
        <f>Frontier!O7</f>
        <v/>
      </c>
      <c r="P7" s="36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36">
        <f>G15</f>
        <v/>
      </c>
      <c r="H8" s="36">
        <f>H15</f>
        <v/>
      </c>
      <c r="I8" s="36">
        <f>I15</f>
        <v/>
      </c>
      <c r="J8" s="36">
        <f>J15</f>
        <v/>
      </c>
      <c r="K8" s="36">
        <f>K15</f>
        <v/>
      </c>
      <c r="L8" s="36">
        <f>L15</f>
        <v/>
      </c>
      <c r="M8" s="36">
        <f>M15</f>
        <v/>
      </c>
      <c r="N8" s="36">
        <f>N15</f>
        <v/>
      </c>
      <c r="O8" s="36">
        <f>O15</f>
        <v/>
      </c>
      <c r="P8" s="36">
        <f>P15</f>
        <v/>
      </c>
    </row>
    <row r="9">
      <c r="A9" s="17" t="inlineStr">
        <is>
          <t xml:space="preserve">  Maximum Allowed Revenue (MAR)</t>
        </is>
      </c>
      <c r="B9" s="38" t="n">
        <v>603</v>
      </c>
      <c r="C9" s="38" t="n">
        <v>629</v>
      </c>
      <c r="D9" s="38" t="n">
        <v>666</v>
      </c>
      <c r="E9" s="38" t="n">
        <v>687</v>
      </c>
      <c r="F9" s="38" t="n">
        <v>731</v>
      </c>
      <c r="G9" s="37">
        <f>G5+G6+G7+G8</f>
        <v/>
      </c>
      <c r="H9" s="37">
        <f>H5+H6+H7+H8</f>
        <v/>
      </c>
      <c r="I9" s="37">
        <f>I5+I6+I7+I8</f>
        <v/>
      </c>
      <c r="J9" s="37">
        <f>J5+J6+J7+J8</f>
        <v/>
      </c>
      <c r="K9" s="37">
        <f>K5+K6+K7+K8</f>
        <v/>
      </c>
      <c r="L9" s="37">
        <f>L5+L6+L7+L8</f>
        <v/>
      </c>
      <c r="M9" s="37">
        <f>M5+M6+M7+M8</f>
        <v/>
      </c>
      <c r="N9" s="37">
        <f>N5+N6+N7+N8</f>
        <v/>
      </c>
      <c r="O9" s="37">
        <f>O5+O6+O7+O8</f>
        <v/>
      </c>
      <c r="P9" s="37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36">
        <f>RAB!G11*Assumptions!$B$5</f>
        <v/>
      </c>
      <c r="H12" s="36">
        <f>RAB!H11*Assumptions!$B$5</f>
        <v/>
      </c>
      <c r="I12" s="36">
        <f>RAB!I11*Assumptions!$B$5</f>
        <v/>
      </c>
      <c r="J12" s="36">
        <f>RAB!J11*Assumptions!$B$5</f>
        <v/>
      </c>
      <c r="K12" s="36">
        <f>RAB!K11*Assumptions!$B$5</f>
        <v/>
      </c>
      <c r="L12" s="36">
        <f>RAB!L11*Assumptions!$B$5</f>
        <v/>
      </c>
      <c r="M12" s="36">
        <f>RAB!M11*Assumptions!$B$5</f>
        <v/>
      </c>
      <c r="N12" s="36">
        <f>RAB!N11*Assumptions!$B$5</f>
        <v/>
      </c>
      <c r="O12" s="36">
        <f>RAB!O11*Assumptions!$B$5</f>
        <v/>
      </c>
      <c r="P12" s="36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36">
        <f>G12*Assumptions!$B$12</f>
        <v/>
      </c>
      <c r="H13" s="36">
        <f>H12*Assumptions!$B$12</f>
        <v/>
      </c>
      <c r="I13" s="36">
        <f>I12*Assumptions!$B$12</f>
        <v/>
      </c>
      <c r="J13" s="36">
        <f>J12*Assumptions!$B$12</f>
        <v/>
      </c>
      <c r="K13" s="36">
        <f>K12*Assumptions!$B$12</f>
        <v/>
      </c>
      <c r="L13" s="36">
        <f>L12*Assumptions!$B$12</f>
        <v/>
      </c>
      <c r="M13" s="36">
        <f>M12*Assumptions!$B$12</f>
        <v/>
      </c>
      <c r="N13" s="36">
        <f>N12*Assumptions!$B$12</f>
        <v/>
      </c>
      <c r="O13" s="36">
        <f>O12*Assumptions!$B$12</f>
        <v/>
      </c>
      <c r="P13" s="36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36">
        <f>G12*Assumptions!$B$11*Assumptions!$B$12</f>
        <v/>
      </c>
      <c r="H14" s="36">
        <f>H12*Assumptions!$B$11*Assumptions!$B$12</f>
        <v/>
      </c>
      <c r="I14" s="36">
        <f>I12*Assumptions!$B$11*Assumptions!$B$12</f>
        <v/>
      </c>
      <c r="J14" s="36">
        <f>J12*Assumptions!$B$11*Assumptions!$B$12</f>
        <v/>
      </c>
      <c r="K14" s="36">
        <f>K12*Assumptions!$B$11*Assumptions!$B$12</f>
        <v/>
      </c>
      <c r="L14" s="36">
        <f>L12*Assumptions!$B$11*Assumptions!$B$12</f>
        <v/>
      </c>
      <c r="M14" s="36">
        <f>M12*Assumptions!$B$11*Assumptions!$B$12</f>
        <v/>
      </c>
      <c r="N14" s="36">
        <f>N12*Assumptions!$B$11*Assumptions!$B$12</f>
        <v/>
      </c>
      <c r="O14" s="36">
        <f>O12*Assumptions!$B$11*Assumptions!$B$12</f>
        <v/>
      </c>
      <c r="P14" s="36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36">
        <f>G13-G14</f>
        <v/>
      </c>
      <c r="H15" s="36">
        <f>H13-H14</f>
        <v/>
      </c>
      <c r="I15" s="36">
        <f>I13-I14</f>
        <v/>
      </c>
      <c r="J15" s="36">
        <f>J13-J14</f>
        <v/>
      </c>
      <c r="K15" s="36">
        <f>K13-K14</f>
        <v/>
      </c>
      <c r="L15" s="36">
        <f>L13-L14</f>
        <v/>
      </c>
      <c r="M15" s="36">
        <f>M13-M14</f>
        <v/>
      </c>
      <c r="N15" s="36">
        <f>N13-N14</f>
        <v/>
      </c>
      <c r="O15" s="36">
        <f>O13-O14</f>
        <v/>
      </c>
      <c r="P15" s="36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36">
        <f>PTRM!G9-G6</f>
        <v/>
      </c>
      <c r="H5" s="36">
        <f>PTRM!H9-H6</f>
        <v/>
      </c>
      <c r="I5" s="36">
        <f>PTRM!I9-I6</f>
        <v/>
      </c>
      <c r="J5" s="36">
        <f>PTRM!J9-J6</f>
        <v/>
      </c>
      <c r="K5" s="36">
        <f>PTRM!K9-K6</f>
        <v/>
      </c>
      <c r="L5" s="36">
        <f>PTRM!L9-L6</f>
        <v/>
      </c>
      <c r="M5" s="36">
        <f>PTRM!M9-M6</f>
        <v/>
      </c>
      <c r="N5" s="36">
        <f>PTRM!N9-N6</f>
        <v/>
      </c>
      <c r="O5" s="36">
        <f>PTRM!O9-O6</f>
        <v/>
      </c>
      <c r="P5" s="36">
        <f>PTRM!P9-P6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36">
        <f>Assumptions!G20</f>
        <v/>
      </c>
      <c r="H6" s="36">
        <f>Assumptions!H20</f>
        <v/>
      </c>
      <c r="I6" s="36">
        <f>Assumptions!I20</f>
        <v/>
      </c>
      <c r="J6" s="36">
        <f>Assumptions!J20</f>
        <v/>
      </c>
      <c r="K6" s="36">
        <f>Assumptions!K20</f>
        <v/>
      </c>
      <c r="L6" s="36">
        <f>Assumptions!L20</f>
        <v/>
      </c>
      <c r="M6" s="36">
        <f>Assumptions!M20</f>
        <v/>
      </c>
      <c r="N6" s="36">
        <f>Assumptions!N20</f>
        <v/>
      </c>
      <c r="O6" s="36">
        <f>Assumptions!O20</f>
        <v/>
      </c>
      <c r="P6" s="36">
        <f>Assumptions!P20</f>
        <v/>
      </c>
    </row>
    <row r="7">
      <c r="A7" s="17" t="inlineStr">
        <is>
          <t xml:space="preserve">  Total Revenue</t>
        </is>
      </c>
      <c r="B7" s="38" t="n">
        <v>603</v>
      </c>
      <c r="C7" s="38" t="n">
        <v>629</v>
      </c>
      <c r="D7" s="38" t="n">
        <v>666</v>
      </c>
      <c r="E7" s="38" t="n">
        <v>687</v>
      </c>
      <c r="F7" s="38" t="n">
        <v>731</v>
      </c>
      <c r="G7" s="43">
        <f>PTRM!G9</f>
        <v/>
      </c>
      <c r="H7" s="43">
        <f>PTRM!H9</f>
        <v/>
      </c>
      <c r="I7" s="43">
        <f>PTRM!I9</f>
        <v/>
      </c>
      <c r="J7" s="43">
        <f>PTRM!J9</f>
        <v/>
      </c>
      <c r="K7" s="43">
        <f>PTRM!K9</f>
        <v/>
      </c>
      <c r="L7" s="43">
        <f>PTRM!L9</f>
        <v/>
      </c>
      <c r="M7" s="43">
        <f>PTRM!M9</f>
        <v/>
      </c>
      <c r="N7" s="43">
        <f>PTRM!N9</f>
        <v/>
      </c>
      <c r="O7" s="43">
        <f>PTRM!O9</f>
        <v/>
      </c>
      <c r="P7" s="43">
        <f>PTRM!P9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36">
        <f>REFM!G5</f>
        <v/>
      </c>
      <c r="H10" s="36">
        <f>REFM!H5</f>
        <v/>
      </c>
      <c r="I10" s="36">
        <f>REFM!I5</f>
        <v/>
      </c>
      <c r="J10" s="36">
        <f>REFM!J5</f>
        <v/>
      </c>
      <c r="K10" s="36">
        <f>REFM!K5</f>
        <v/>
      </c>
      <c r="L10" s="36">
        <f>REFM!L5</f>
        <v/>
      </c>
      <c r="M10" s="36">
        <f>REFM!M5</f>
        <v/>
      </c>
      <c r="N10" s="36">
        <f>REFM!N5</f>
        <v/>
      </c>
      <c r="O10" s="36">
        <f>REFM!O5</f>
        <v/>
      </c>
      <c r="P10" s="36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36">
        <f>REFM!G6</f>
        <v/>
      </c>
      <c r="H11" s="36">
        <f>REFM!H6</f>
        <v/>
      </c>
      <c r="I11" s="36">
        <f>REFM!I6</f>
        <v/>
      </c>
      <c r="J11" s="36">
        <f>REFM!J6</f>
        <v/>
      </c>
      <c r="K11" s="36">
        <f>REFM!K6</f>
        <v/>
      </c>
      <c r="L11" s="36">
        <f>REFM!L6</f>
        <v/>
      </c>
      <c r="M11" s="36">
        <f>REFM!M6</f>
        <v/>
      </c>
      <c r="N11" s="36">
        <f>REFM!N6</f>
        <v/>
      </c>
      <c r="O11" s="36">
        <f>REFM!O6</f>
        <v/>
      </c>
      <c r="P11" s="36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36">
        <f>REFM!G7</f>
        <v/>
      </c>
      <c r="H12" s="36">
        <f>REFM!H7</f>
        <v/>
      </c>
      <c r="I12" s="36">
        <f>REFM!I7</f>
        <v/>
      </c>
      <c r="J12" s="36">
        <f>REFM!J7</f>
        <v/>
      </c>
      <c r="K12" s="36">
        <f>REFM!K7</f>
        <v/>
      </c>
      <c r="L12" s="36">
        <f>REFM!L7</f>
        <v/>
      </c>
      <c r="M12" s="36">
        <f>REFM!M7</f>
        <v/>
      </c>
      <c r="N12" s="36">
        <f>REFM!N7</f>
        <v/>
      </c>
      <c r="O12" s="36">
        <f>REFM!O7</f>
        <v/>
      </c>
      <c r="P12" s="36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36">
        <f>REFM!G8</f>
        <v/>
      </c>
      <c r="H13" s="36">
        <f>REFM!H8</f>
        <v/>
      </c>
      <c r="I13" s="36">
        <f>REFM!I8</f>
        <v/>
      </c>
      <c r="J13" s="36">
        <f>REFM!J8</f>
        <v/>
      </c>
      <c r="K13" s="36">
        <f>REFM!K8</f>
        <v/>
      </c>
      <c r="L13" s="36">
        <f>REFM!L8</f>
        <v/>
      </c>
      <c r="M13" s="36">
        <f>REFM!M8</f>
        <v/>
      </c>
      <c r="N13" s="36">
        <f>REFM!N8</f>
        <v/>
      </c>
      <c r="O13" s="36">
        <f>REFM!O8</f>
        <v/>
      </c>
      <c r="P13" s="36">
        <f>REFM!P8</f>
        <v/>
      </c>
    </row>
    <row r="14">
      <c r="A14" s="17" t="inlineStr">
        <is>
          <t xml:space="preserve">  Total Opex</t>
        </is>
      </c>
      <c r="B14" s="38" t="n">
        <v>168</v>
      </c>
      <c r="C14" s="38" t="n">
        <v>172</v>
      </c>
      <c r="D14" s="38" t="n">
        <v>176</v>
      </c>
      <c r="E14" s="38" t="n">
        <v>181</v>
      </c>
      <c r="F14" s="38" t="n">
        <v>185</v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3">
        <f>SUM(O10:O13)</f>
        <v/>
      </c>
      <c r="P14" s="43">
        <f>SUM(P10:P13)</f>
        <v/>
      </c>
    </row>
    <row r="16">
      <c r="A16" s="17" t="inlineStr">
        <is>
          <t>EBITDA</t>
        </is>
      </c>
      <c r="B16" s="38" t="n">
        <v>435</v>
      </c>
      <c r="C16" s="38" t="n">
        <v>457</v>
      </c>
      <c r="D16" s="38" t="n">
        <v>490</v>
      </c>
      <c r="E16" s="38" t="n">
        <v>506</v>
      </c>
      <c r="F16" s="38" t="n">
        <v>546</v>
      </c>
      <c r="G16" s="37">
        <f>G7-G14</f>
        <v/>
      </c>
      <c r="H16" s="37">
        <f>H7-H14</f>
        <v/>
      </c>
      <c r="I16" s="37">
        <f>I7-I14</f>
        <v/>
      </c>
      <c r="J16" s="37">
        <f>J7-J14</f>
        <v/>
      </c>
      <c r="K16" s="37">
        <f>K7-K14</f>
        <v/>
      </c>
      <c r="L16" s="37">
        <f>L7-L14</f>
        <v/>
      </c>
      <c r="M16" s="37">
        <f>M7-M14</f>
        <v/>
      </c>
      <c r="N16" s="37">
        <f>N7-N14</f>
        <v/>
      </c>
      <c r="O16" s="37">
        <f>O7-O14</f>
        <v/>
      </c>
      <c r="P16" s="37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36">
        <f>'Balance Sheet'!F9/Assumptions!$B$41</f>
        <v/>
      </c>
      <c r="H18" s="36">
        <f>'Balance Sheet'!G9/Assumptions!$B$41</f>
        <v/>
      </c>
      <c r="I18" s="36">
        <f>'Balance Sheet'!H9/Assumptions!$B$41</f>
        <v/>
      </c>
      <c r="J18" s="36">
        <f>'Balance Sheet'!I9/Assumptions!$B$41</f>
        <v/>
      </c>
      <c r="K18" s="36">
        <f>'Balance Sheet'!J9/Assumptions!$B$41</f>
        <v/>
      </c>
      <c r="L18" s="36">
        <f>'Balance Sheet'!K9/Assumptions!$B$41</f>
        <v/>
      </c>
      <c r="M18" s="36">
        <f>'Balance Sheet'!L9/Assumptions!$B$41</f>
        <v/>
      </c>
      <c r="N18" s="36">
        <f>'Balance Sheet'!M9/Assumptions!$B$41</f>
        <v/>
      </c>
      <c r="O18" s="36">
        <f>'Balance Sheet'!N9/Assumptions!$B$41</f>
        <v/>
      </c>
      <c r="P18" s="36">
        <f>'Balance Sheet'!O9/Assumptions!$B$41</f>
        <v/>
      </c>
    </row>
    <row r="20">
      <c r="A20" s="17" t="inlineStr">
        <is>
          <t>EBIT</t>
        </is>
      </c>
      <c r="B20" s="38" t="n">
        <v>204.1</v>
      </c>
      <c r="C20" s="38" t="n">
        <v>217.4</v>
      </c>
      <c r="D20" s="38" t="n">
        <v>241</v>
      </c>
      <c r="E20" s="38" t="n">
        <v>246.9</v>
      </c>
      <c r="F20" s="38" t="n">
        <v>276</v>
      </c>
      <c r="G20" s="37">
        <f>G16-G18</f>
        <v/>
      </c>
      <c r="H20" s="37">
        <f>H16-H18</f>
        <v/>
      </c>
      <c r="I20" s="37">
        <f>I16-I18</f>
        <v/>
      </c>
      <c r="J20" s="37">
        <f>J16-J18</f>
        <v/>
      </c>
      <c r="K20" s="37">
        <f>K16-K18</f>
        <v/>
      </c>
      <c r="L20" s="37">
        <f>L16-L18</f>
        <v/>
      </c>
      <c r="M20" s="37">
        <f>M16-M18</f>
        <v/>
      </c>
      <c r="N20" s="37">
        <f>N16-N18</f>
        <v/>
      </c>
      <c r="O20" s="37">
        <f>O16-O18</f>
        <v/>
      </c>
      <c r="P20" s="37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36">
        <f>'Balance Sheet'!F20*Assumptions!$B$46</f>
        <v/>
      </c>
      <c r="H22" s="36">
        <f>'Balance Sheet'!G20*Assumptions!$B$46</f>
        <v/>
      </c>
      <c r="I22" s="36">
        <f>'Balance Sheet'!H20*Assumptions!$B$46</f>
        <v/>
      </c>
      <c r="J22" s="36">
        <f>'Balance Sheet'!I20*Assumptions!$B$46</f>
        <v/>
      </c>
      <c r="K22" s="36">
        <f>'Balance Sheet'!J20*Assumptions!$B$46</f>
        <v/>
      </c>
      <c r="L22" s="36">
        <f>'Balance Sheet'!K20*Assumptions!$B$46</f>
        <v/>
      </c>
      <c r="M22" s="36">
        <f>'Balance Sheet'!L20*Assumptions!$B$46</f>
        <v/>
      </c>
      <c r="N22" s="36">
        <f>'Balance Sheet'!M20*Assumptions!$B$46</f>
        <v/>
      </c>
      <c r="O22" s="36">
        <f>'Balance Sheet'!N20*Assumptions!$B$46</f>
        <v/>
      </c>
      <c r="P22" s="36">
        <f>'Balance Sheet'!O20*Assumptions!$B$46</f>
        <v/>
      </c>
    </row>
    <row r="24">
      <c r="A24" s="17" t="inlineStr">
        <is>
          <t>EBT</t>
        </is>
      </c>
      <c r="B24" s="38" t="n">
        <v>11.6</v>
      </c>
      <c r="C24" s="38" t="n">
        <v>21.6</v>
      </c>
      <c r="D24" s="38" t="n">
        <v>41.6</v>
      </c>
      <c r="E24" s="38" t="n">
        <v>43.7</v>
      </c>
      <c r="F24" s="38" t="n">
        <v>68.40000000000001</v>
      </c>
      <c r="G24" s="37">
        <f>G20-G22</f>
        <v/>
      </c>
      <c r="H24" s="37">
        <f>H20-H22</f>
        <v/>
      </c>
      <c r="I24" s="37">
        <f>I20-I22</f>
        <v/>
      </c>
      <c r="J24" s="37">
        <f>J20-J22</f>
        <v/>
      </c>
      <c r="K24" s="37">
        <f>K20-K22</f>
        <v/>
      </c>
      <c r="L24" s="37">
        <f>L20-L22</f>
        <v/>
      </c>
      <c r="M24" s="37">
        <f>M20-M22</f>
        <v/>
      </c>
      <c r="N24" s="37">
        <f>N20-N22</f>
        <v/>
      </c>
      <c r="O24" s="37">
        <f>O20-O22</f>
        <v/>
      </c>
      <c r="P24" s="37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36">
        <f>MAX(G24*Assumptions!$B$12,0)</f>
        <v/>
      </c>
      <c r="H26" s="36">
        <f>MAX(H24*Assumptions!$B$12,0)</f>
        <v/>
      </c>
      <c r="I26" s="36">
        <f>MAX(I24*Assumptions!$B$12,0)</f>
        <v/>
      </c>
      <c r="J26" s="36">
        <f>MAX(J24*Assumptions!$B$12,0)</f>
        <v/>
      </c>
      <c r="K26" s="36">
        <f>MAX(K24*Assumptions!$B$12,0)</f>
        <v/>
      </c>
      <c r="L26" s="36">
        <f>MAX(L24*Assumptions!$B$12,0)</f>
        <v/>
      </c>
      <c r="M26" s="36">
        <f>MAX(M24*Assumptions!$B$12,0)</f>
        <v/>
      </c>
      <c r="N26" s="36">
        <f>MAX(N24*Assumptions!$B$12,0)</f>
        <v/>
      </c>
      <c r="O26" s="36">
        <f>MAX(O24*Assumptions!$B$12,0)</f>
        <v/>
      </c>
      <c r="P26" s="36">
        <f>MAX(P24*Assumptions!$B$12,0)</f>
        <v/>
      </c>
    </row>
    <row r="28">
      <c r="A28" s="17" t="inlineStr">
        <is>
          <t>Net Income</t>
        </is>
      </c>
      <c r="B28" s="38" t="n">
        <v>8.1</v>
      </c>
      <c r="C28" s="38" t="n">
        <v>15.1</v>
      </c>
      <c r="D28" s="38" t="n">
        <v>29.1</v>
      </c>
      <c r="E28" s="38" t="n">
        <v>30.6</v>
      </c>
      <c r="F28" s="38" t="n">
        <v>47.9</v>
      </c>
      <c r="G28" s="37">
        <f>G24-G26</f>
        <v/>
      </c>
      <c r="H28" s="37">
        <f>H24-H26</f>
        <v/>
      </c>
      <c r="I28" s="37">
        <f>I24-I26</f>
        <v/>
      </c>
      <c r="J28" s="37">
        <f>J24-J26</f>
        <v/>
      </c>
      <c r="K28" s="37">
        <f>K24-K26</f>
        <v/>
      </c>
      <c r="L28" s="37">
        <f>L24-L26</f>
        <v/>
      </c>
      <c r="M28" s="37">
        <f>M24-M26</f>
        <v/>
      </c>
      <c r="N28" s="37">
        <f>N24-N26</f>
        <v/>
      </c>
      <c r="O28" s="37">
        <f>O24-O26</f>
        <v/>
      </c>
      <c r="P28" s="37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36">
        <f>G28*Assumptions!$B$47</f>
        <v/>
      </c>
      <c r="H29" s="36">
        <f>H28*Assumptions!$B$47</f>
        <v/>
      </c>
      <c r="I29" s="36">
        <f>I28*Assumptions!$B$47</f>
        <v/>
      </c>
      <c r="J29" s="36">
        <f>J28*Assumptions!$B$47</f>
        <v/>
      </c>
      <c r="K29" s="36">
        <f>K28*Assumptions!$B$47</f>
        <v/>
      </c>
      <c r="L29" s="36">
        <f>L28*Assumptions!$B$47</f>
        <v/>
      </c>
      <c r="M29" s="36">
        <f>M28*Assumptions!$B$47</f>
        <v/>
      </c>
      <c r="N29" s="36">
        <f>N28*Assumptions!$B$47</f>
        <v/>
      </c>
      <c r="O29" s="36">
        <f>O28*Assumptions!$B$47</f>
        <v/>
      </c>
      <c r="P29" s="36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36">
        <f>G28-G29</f>
        <v/>
      </c>
      <c r="H30" s="36">
        <f>H28-H29</f>
        <v/>
      </c>
      <c r="I30" s="36">
        <f>I28-I29</f>
        <v/>
      </c>
      <c r="J30" s="36">
        <f>J28-J29</f>
        <v/>
      </c>
      <c r="K30" s="36">
        <f>K28-K29</f>
        <v/>
      </c>
      <c r="L30" s="36">
        <f>L28-L29</f>
        <v/>
      </c>
      <c r="M30" s="36">
        <f>M28-M29</f>
        <v/>
      </c>
      <c r="N30" s="36">
        <f>N28-N29</f>
        <v/>
      </c>
      <c r="O30" s="36">
        <f>O28-O29</f>
        <v/>
      </c>
      <c r="P30" s="36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36">
        <f>'Cash Flow'!G24</f>
        <v/>
      </c>
      <c r="H5" s="36">
        <f>'Cash Flow'!H24</f>
        <v/>
      </c>
      <c r="I5" s="36">
        <f>'Cash Flow'!I24</f>
        <v/>
      </c>
      <c r="J5" s="36">
        <f>'Cash Flow'!J24</f>
        <v/>
      </c>
      <c r="K5" s="36">
        <f>'Cash Flow'!K24</f>
        <v/>
      </c>
      <c r="L5" s="36">
        <f>'Cash Flow'!L24</f>
        <v/>
      </c>
      <c r="M5" s="36">
        <f>'Cash Flow'!M24</f>
        <v/>
      </c>
      <c r="N5" s="36">
        <f>'Cash Flow'!N24</f>
        <v/>
      </c>
      <c r="O5" s="36">
        <f>'Cash Flow'!O24</f>
        <v/>
      </c>
      <c r="P5" s="36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36">
        <f>'Income Statement'!G7*Assumptions!$B$52/365</f>
        <v/>
      </c>
      <c r="H6" s="36">
        <f>'Income Statement'!H7*Assumptions!$B$52/365</f>
        <v/>
      </c>
      <c r="I6" s="36">
        <f>'Income Statement'!I7*Assumptions!$B$52/365</f>
        <v/>
      </c>
      <c r="J6" s="36">
        <f>'Income Statement'!J7*Assumptions!$B$52/365</f>
        <v/>
      </c>
      <c r="K6" s="36">
        <f>'Income Statement'!K7*Assumptions!$B$52/365</f>
        <v/>
      </c>
      <c r="L6" s="36">
        <f>'Income Statement'!L7*Assumptions!$B$52/365</f>
        <v/>
      </c>
      <c r="M6" s="36">
        <f>'Income Statement'!M7*Assumptions!$B$52/365</f>
        <v/>
      </c>
      <c r="N6" s="36">
        <f>'Income Statement'!N7*Assumptions!$B$52/365</f>
        <v/>
      </c>
      <c r="O6" s="36">
        <f>'Income Statement'!O7*Assumptions!$B$52/365</f>
        <v/>
      </c>
      <c r="P6" s="36">
        <f>'Income Statement'!P7*Assumptions!$B$52/365</f>
        <v/>
      </c>
    </row>
    <row r="7">
      <c r="A7" s="17" t="inlineStr">
        <is>
          <t xml:space="preserve">  Total Current Assets</t>
        </is>
      </c>
      <c r="B7" s="38" t="n">
        <v>204.6</v>
      </c>
      <c r="C7" s="38" t="n">
        <v>209</v>
      </c>
      <c r="D7" s="38" t="n">
        <v>207.1</v>
      </c>
      <c r="E7" s="38" t="n">
        <v>200.8</v>
      </c>
      <c r="F7" s="38" t="n">
        <v>195.5</v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  <c r="M7" s="43">
        <f>M5+M6</f>
        <v/>
      </c>
      <c r="N7" s="43">
        <f>N5+N6</f>
        <v/>
      </c>
      <c r="O7" s="43">
        <f>O5+O6</f>
        <v/>
      </c>
      <c r="P7" s="43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36">
        <f>F9+REFM!G15</f>
        <v/>
      </c>
      <c r="H9" s="36">
        <f>G9+REFM!H15</f>
        <v/>
      </c>
      <c r="I9" s="36">
        <f>H9+REFM!I15</f>
        <v/>
      </c>
      <c r="J9" s="36">
        <f>I9+REFM!J15</f>
        <v/>
      </c>
      <c r="K9" s="36">
        <f>J9+REFM!K15</f>
        <v/>
      </c>
      <c r="L9" s="36">
        <f>K9+REFM!L15</f>
        <v/>
      </c>
      <c r="M9" s="36">
        <f>L9+REFM!M15</f>
        <v/>
      </c>
      <c r="N9" s="36">
        <f>M9+REFM!N15</f>
        <v/>
      </c>
      <c r="O9" s="36">
        <f>N9+REFM!O15</f>
        <v/>
      </c>
      <c r="P9" s="36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36">
        <f>F10+'Income Statement'!G18</f>
        <v/>
      </c>
      <c r="H10" s="36">
        <f>G10+'Income Statement'!H18</f>
        <v/>
      </c>
      <c r="I10" s="36">
        <f>H10+'Income Statement'!I18</f>
        <v/>
      </c>
      <c r="J10" s="36">
        <f>I10+'Income Statement'!J18</f>
        <v/>
      </c>
      <c r="K10" s="36">
        <f>J10+'Income Statement'!K18</f>
        <v/>
      </c>
      <c r="L10" s="36">
        <f>K10+'Income Statement'!L18</f>
        <v/>
      </c>
      <c r="M10" s="36">
        <f>L10+'Income Statement'!M18</f>
        <v/>
      </c>
      <c r="N10" s="36">
        <f>M10+'Income Statement'!N18</f>
        <v/>
      </c>
      <c r="O10" s="36">
        <f>N10+'Income Statement'!O18</f>
        <v/>
      </c>
      <c r="P10" s="36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36">
        <f>G9-G10</f>
        <v/>
      </c>
      <c r="H11" s="36">
        <f>H9-H10</f>
        <v/>
      </c>
      <c r="I11" s="36">
        <f>I9-I10</f>
        <v/>
      </c>
      <c r="J11" s="36">
        <f>J9-J10</f>
        <v/>
      </c>
      <c r="K11" s="36">
        <f>K9-K10</f>
        <v/>
      </c>
      <c r="L11" s="36">
        <f>L9-L10</f>
        <v/>
      </c>
      <c r="M11" s="36">
        <f>M9-M10</f>
        <v/>
      </c>
      <c r="N11" s="36">
        <f>N9-N10</f>
        <v/>
      </c>
      <c r="O11" s="36">
        <f>O9-O10</f>
        <v/>
      </c>
      <c r="P11" s="36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36">
        <f>RAB!G9-G11</f>
        <v/>
      </c>
      <c r="H12" s="36">
        <f>RAB!H9-H11</f>
        <v/>
      </c>
      <c r="I12" s="36">
        <f>RAB!I9-I11</f>
        <v/>
      </c>
      <c r="J12" s="36">
        <f>RAB!J9-J11</f>
        <v/>
      </c>
      <c r="K12" s="36">
        <f>RAB!K9-K11</f>
        <v/>
      </c>
      <c r="L12" s="36">
        <f>RAB!L9-L11</f>
        <v/>
      </c>
      <c r="M12" s="36">
        <f>RAB!M9-M11</f>
        <v/>
      </c>
      <c r="N12" s="36">
        <f>RAB!N9-N11</f>
        <v/>
      </c>
      <c r="O12" s="36">
        <f>RAB!O9-O11</f>
        <v/>
      </c>
      <c r="P12" s="36">
        <f>RAB!P9-P11</f>
        <v/>
      </c>
    </row>
    <row r="13">
      <c r="A13" s="17" t="inlineStr">
        <is>
          <t xml:space="preserve">  Total Non-Current Assets</t>
        </is>
      </c>
      <c r="B13" s="38" t="n">
        <v>5032</v>
      </c>
      <c r="C13" s="38" t="n">
        <v>5296.7</v>
      </c>
      <c r="D13" s="38" t="n">
        <v>5589.6</v>
      </c>
      <c r="E13" s="38" t="n">
        <v>5972.6</v>
      </c>
      <c r="F13" s="38" t="n">
        <v>6561.7</v>
      </c>
      <c r="G13" s="43">
        <f>G11+G12</f>
        <v/>
      </c>
      <c r="H13" s="43">
        <f>H11+H12</f>
        <v/>
      </c>
      <c r="I13" s="43">
        <f>I11+I12</f>
        <v/>
      </c>
      <c r="J13" s="43">
        <f>J11+J12</f>
        <v/>
      </c>
      <c r="K13" s="43">
        <f>K11+K12</f>
        <v/>
      </c>
      <c r="L13" s="43">
        <f>L11+L12</f>
        <v/>
      </c>
      <c r="M13" s="43">
        <f>M11+M12</f>
        <v/>
      </c>
      <c r="N13" s="43">
        <f>N11+N12</f>
        <v/>
      </c>
      <c r="O13" s="43">
        <f>O11+O12</f>
        <v/>
      </c>
      <c r="P13" s="43">
        <f>P11+P12</f>
        <v/>
      </c>
    </row>
    <row r="14">
      <c r="A14" s="17" t="inlineStr">
        <is>
          <t>TOTAL ASSETS</t>
        </is>
      </c>
      <c r="B14" s="38" t="n">
        <v>5236.6</v>
      </c>
      <c r="C14" s="38" t="n">
        <v>5505.7</v>
      </c>
      <c r="D14" s="38" t="n">
        <v>5796.7</v>
      </c>
      <c r="E14" s="38" t="n">
        <v>6173.4</v>
      </c>
      <c r="F14" s="38" t="n">
        <v>6757.2</v>
      </c>
      <c r="G14" s="37">
        <f>G7+G13</f>
        <v/>
      </c>
      <c r="H14" s="37">
        <f>H7+H13</f>
        <v/>
      </c>
      <c r="I14" s="37">
        <f>I7+I13</f>
        <v/>
      </c>
      <c r="J14" s="37">
        <f>J7+J13</f>
        <v/>
      </c>
      <c r="K14" s="37">
        <f>K7+K13</f>
        <v/>
      </c>
      <c r="L14" s="37">
        <f>L7+L13</f>
        <v/>
      </c>
      <c r="M14" s="37">
        <f>M7+M13</f>
        <v/>
      </c>
      <c r="N14" s="37">
        <f>N7+N13</f>
        <v/>
      </c>
      <c r="O14" s="37">
        <f>O7+O13</f>
        <v/>
      </c>
      <c r="P14" s="37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36">
        <f>REFM!G9*Assumptions!$B$53/365</f>
        <v/>
      </c>
      <c r="H17" s="36">
        <f>REFM!H9*Assumptions!$B$53/365</f>
        <v/>
      </c>
      <c r="I17" s="36">
        <f>REFM!I9*Assumptions!$B$53/365</f>
        <v/>
      </c>
      <c r="J17" s="36">
        <f>REFM!J9*Assumptions!$B$53/365</f>
        <v/>
      </c>
      <c r="K17" s="36">
        <f>REFM!K9*Assumptions!$B$53/365</f>
        <v/>
      </c>
      <c r="L17" s="36">
        <f>REFM!L9*Assumptions!$B$53/365</f>
        <v/>
      </c>
      <c r="M17" s="36">
        <f>REFM!M9*Assumptions!$B$53/365</f>
        <v/>
      </c>
      <c r="N17" s="36">
        <f>REFM!N9*Assumptions!$B$53/365</f>
        <v/>
      </c>
      <c r="O17" s="36">
        <f>REFM!O9*Assumptions!$B$53/365</f>
        <v/>
      </c>
      <c r="P17" s="36">
        <f>REFM!P9*Assumptions!$B$53/365</f>
        <v/>
      </c>
    </row>
    <row r="18">
      <c r="A18" s="17" t="inlineStr">
        <is>
          <t xml:space="preserve">  Total Current Liabilities</t>
        </is>
      </c>
      <c r="B18" s="38" t="n">
        <v>13.8</v>
      </c>
      <c r="C18" s="38" t="n">
        <v>14.1</v>
      </c>
      <c r="D18" s="38" t="n">
        <v>14.5</v>
      </c>
      <c r="E18" s="38" t="n">
        <v>14.9</v>
      </c>
      <c r="F18" s="38" t="n">
        <v>15.2</v>
      </c>
      <c r="G18" s="43">
        <f>G17</f>
        <v/>
      </c>
      <c r="H18" s="43">
        <f>H17</f>
        <v/>
      </c>
      <c r="I18" s="43">
        <f>I17</f>
        <v/>
      </c>
      <c r="J18" s="43">
        <f>J17</f>
        <v/>
      </c>
      <c r="K18" s="43">
        <f>K17</f>
        <v/>
      </c>
      <c r="L18" s="43">
        <f>L17</f>
        <v/>
      </c>
      <c r="M18" s="43">
        <f>M17</f>
        <v/>
      </c>
      <c r="N18" s="43">
        <f>N17</f>
        <v/>
      </c>
      <c r="O18" s="43">
        <f>O17</f>
        <v/>
      </c>
      <c r="P18" s="43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36">
        <f>F20+Assumptions!G48-Assumptions!G49</f>
        <v/>
      </c>
      <c r="H20" s="36">
        <f>G20+Assumptions!H48-Assumptions!H49</f>
        <v/>
      </c>
      <c r="I20" s="36">
        <f>H20+Assumptions!I48-Assumptions!I49</f>
        <v/>
      </c>
      <c r="J20" s="36">
        <f>I20+Assumptions!J48-Assumptions!J49</f>
        <v/>
      </c>
      <c r="K20" s="36">
        <f>J20+Assumptions!K48-Assumptions!K49</f>
        <v/>
      </c>
      <c r="L20" s="36">
        <f>K20+Assumptions!L48-Assumptions!L49</f>
        <v/>
      </c>
      <c r="M20" s="36">
        <f>L20+Assumptions!M48-Assumptions!M49</f>
        <v/>
      </c>
      <c r="N20" s="36">
        <f>M20+Assumptions!N48-Assumptions!N49</f>
        <v/>
      </c>
      <c r="O20" s="36">
        <f>N20+Assumptions!O48-Assumptions!O49</f>
        <v/>
      </c>
      <c r="P20" s="36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36">
        <f>MAX((RAB!G14-G10)*Assumptions!$B$12,0)</f>
        <v/>
      </c>
      <c r="H21" s="36">
        <f>MAX((RAB!H14-H10)*Assumptions!$B$12,0)</f>
        <v/>
      </c>
      <c r="I21" s="36">
        <f>MAX((RAB!I14-I10)*Assumptions!$B$12,0)</f>
        <v/>
      </c>
      <c r="J21" s="36">
        <f>MAX((RAB!J14-J10)*Assumptions!$B$12,0)</f>
        <v/>
      </c>
      <c r="K21" s="36">
        <f>MAX((RAB!K14-K10)*Assumptions!$B$12,0)</f>
        <v/>
      </c>
      <c r="L21" s="36">
        <f>MAX((RAB!L14-L10)*Assumptions!$B$12,0)</f>
        <v/>
      </c>
      <c r="M21" s="36">
        <f>MAX((RAB!M14-M10)*Assumptions!$B$12,0)</f>
        <v/>
      </c>
      <c r="N21" s="36">
        <f>MAX((RAB!N14-N10)*Assumptions!$B$12,0)</f>
        <v/>
      </c>
      <c r="O21" s="36">
        <f>MAX((RAB!O14-O10)*Assumptions!$B$12,0)</f>
        <v/>
      </c>
      <c r="P21" s="36">
        <f>MAX((RAB!P14-P10)*Assumptions!$B$12,0)</f>
        <v/>
      </c>
    </row>
    <row r="22">
      <c r="A22" s="17" t="inlineStr">
        <is>
          <t xml:space="preserve">  Total Non-Current Liabilities</t>
        </is>
      </c>
      <c r="B22" s="38" t="n">
        <v>3560</v>
      </c>
      <c r="C22" s="38" t="n">
        <v>3625</v>
      </c>
      <c r="D22" s="38" t="n">
        <v>3695</v>
      </c>
      <c r="E22" s="38" t="n">
        <v>3775</v>
      </c>
      <c r="F22" s="38" t="n">
        <v>3865</v>
      </c>
      <c r="G22" s="43">
        <f>G20+G21</f>
        <v/>
      </c>
      <c r="H22" s="43">
        <f>H20+H21</f>
        <v/>
      </c>
      <c r="I22" s="43">
        <f>I20+I21</f>
        <v/>
      </c>
      <c r="J22" s="43">
        <f>J20+J21</f>
        <v/>
      </c>
      <c r="K22" s="43">
        <f>K20+K21</f>
        <v/>
      </c>
      <c r="L22" s="43">
        <f>L20+L21</f>
        <v/>
      </c>
      <c r="M22" s="43">
        <f>M20+M21</f>
        <v/>
      </c>
      <c r="N22" s="43">
        <f>N20+N21</f>
        <v/>
      </c>
      <c r="O22" s="43">
        <f>O20+O21</f>
        <v/>
      </c>
      <c r="P22" s="43">
        <f>P20+P21</f>
        <v/>
      </c>
    </row>
    <row r="23">
      <c r="A23" s="17" t="inlineStr">
        <is>
          <t>TOTAL LIABILITIES</t>
        </is>
      </c>
      <c r="B23" s="38" t="n">
        <v>3573.8</v>
      </c>
      <c r="C23" s="38" t="n">
        <v>3639.1</v>
      </c>
      <c r="D23" s="38" t="n">
        <v>3709.5</v>
      </c>
      <c r="E23" s="38" t="n">
        <v>3789.9</v>
      </c>
      <c r="F23" s="38" t="n">
        <v>3880.2</v>
      </c>
      <c r="G23" s="37">
        <f>G18+G22</f>
        <v/>
      </c>
      <c r="H23" s="37">
        <f>H18+H22</f>
        <v/>
      </c>
      <c r="I23" s="37">
        <f>I18+I22</f>
        <v/>
      </c>
      <c r="J23" s="37">
        <f>J18+J22</f>
        <v/>
      </c>
      <c r="K23" s="37">
        <f>K18+K22</f>
        <v/>
      </c>
      <c r="L23" s="37">
        <f>L18+L22</f>
        <v/>
      </c>
      <c r="M23" s="37">
        <f>M18+M22</f>
        <v/>
      </c>
      <c r="N23" s="37">
        <f>N18+N22</f>
        <v/>
      </c>
      <c r="O23" s="37">
        <f>O18+O22</f>
        <v/>
      </c>
      <c r="P23" s="37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36">
        <f>F26</f>
        <v/>
      </c>
      <c r="H26" s="36">
        <f>G26</f>
        <v/>
      </c>
      <c r="I26" s="36">
        <f>H26</f>
        <v/>
      </c>
      <c r="J26" s="36">
        <f>I26</f>
        <v/>
      </c>
      <c r="K26" s="36">
        <f>J26</f>
        <v/>
      </c>
      <c r="L26" s="36">
        <f>K26</f>
        <v/>
      </c>
      <c r="M26" s="36">
        <f>L26</f>
        <v/>
      </c>
      <c r="N26" s="36">
        <f>M26</f>
        <v/>
      </c>
      <c r="O26" s="36">
        <f>N26</f>
        <v/>
      </c>
      <c r="P26" s="36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36">
        <f>F27+'Income Statement'!G30</f>
        <v/>
      </c>
      <c r="H27" s="36">
        <f>G27+'Income Statement'!H30</f>
        <v/>
      </c>
      <c r="I27" s="36">
        <f>H27+'Income Statement'!I30</f>
        <v/>
      </c>
      <c r="J27" s="36">
        <f>I27+'Income Statement'!J30</f>
        <v/>
      </c>
      <c r="K27" s="36">
        <f>J27+'Income Statement'!K30</f>
        <v/>
      </c>
      <c r="L27" s="36">
        <f>K27+'Income Statement'!L30</f>
        <v/>
      </c>
      <c r="M27" s="36">
        <f>L27+'Income Statement'!M30</f>
        <v/>
      </c>
      <c r="N27" s="36">
        <f>M27+'Income Statement'!N30</f>
        <v/>
      </c>
      <c r="O27" s="36">
        <f>N27+'Income Statement'!O30</f>
        <v/>
      </c>
      <c r="P27" s="36">
        <f>O27+'Income Statement'!P30</f>
        <v/>
      </c>
    </row>
    <row r="28">
      <c r="A28" s="17" t="inlineStr">
        <is>
          <t xml:space="preserve">  Total Equity</t>
        </is>
      </c>
      <c r="B28" s="38" t="n">
        <v>1302.4</v>
      </c>
      <c r="C28" s="38" t="n">
        <v>1306.9</v>
      </c>
      <c r="D28" s="38" t="n">
        <v>1315.6</v>
      </c>
      <c r="E28" s="38" t="n">
        <v>1324.8</v>
      </c>
      <c r="F28" s="38" t="n">
        <v>1339.2</v>
      </c>
      <c r="G28" s="43">
        <f>G26+G27</f>
        <v/>
      </c>
      <c r="H28" s="43">
        <f>H26+H27</f>
        <v/>
      </c>
      <c r="I28" s="43">
        <f>I26+I27</f>
        <v/>
      </c>
      <c r="J28" s="43">
        <f>J26+J27</f>
        <v/>
      </c>
      <c r="K28" s="43">
        <f>K26+K27</f>
        <v/>
      </c>
      <c r="L28" s="43">
        <f>L26+L27</f>
        <v/>
      </c>
      <c r="M28" s="43">
        <f>M26+M27</f>
        <v/>
      </c>
      <c r="N28" s="43">
        <f>N26+N27</f>
        <v/>
      </c>
      <c r="O28" s="43">
        <f>O26+O27</f>
        <v/>
      </c>
      <c r="P28" s="43">
        <f>P26+P27</f>
        <v/>
      </c>
    </row>
    <row r="29">
      <c r="A29" s="17" t="inlineStr">
        <is>
          <t>TOTAL LIABILITIES &amp; EQUITY</t>
        </is>
      </c>
      <c r="B29" s="38" t="n">
        <v>4876.2</v>
      </c>
      <c r="C29" s="38" t="n">
        <v>4946</v>
      </c>
      <c r="D29" s="38" t="n">
        <v>5025.1</v>
      </c>
      <c r="E29" s="38" t="n">
        <v>5114.7</v>
      </c>
      <c r="F29" s="38" t="n">
        <v>5219.4</v>
      </c>
      <c r="G29" s="37">
        <f>G23+G28</f>
        <v/>
      </c>
      <c r="H29" s="37">
        <f>H23+H28</f>
        <v/>
      </c>
      <c r="I29" s="37">
        <f>I23+I28</f>
        <v/>
      </c>
      <c r="J29" s="37">
        <f>J23+J28</f>
        <v/>
      </c>
      <c r="K29" s="37">
        <f>K23+K28</f>
        <v/>
      </c>
      <c r="L29" s="37">
        <f>L23+L28</f>
        <v/>
      </c>
      <c r="M29" s="37">
        <f>M23+M28</f>
        <v/>
      </c>
      <c r="N29" s="37">
        <f>N23+N28</f>
        <v/>
      </c>
      <c r="O29" s="37">
        <f>O23+O28</f>
        <v/>
      </c>
      <c r="P29" s="37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36">
        <f>'Income Statement'!G28</f>
        <v/>
      </c>
      <c r="H5" s="36">
        <f>'Income Statement'!H28</f>
        <v/>
      </c>
      <c r="I5" s="36">
        <f>'Income Statement'!I28</f>
        <v/>
      </c>
      <c r="J5" s="36">
        <f>'Income Statement'!J28</f>
        <v/>
      </c>
      <c r="K5" s="36">
        <f>'Income Statement'!K28</f>
        <v/>
      </c>
      <c r="L5" s="36">
        <f>'Income Statement'!L28</f>
        <v/>
      </c>
      <c r="M5" s="36">
        <f>'Income Statement'!M28</f>
        <v/>
      </c>
      <c r="N5" s="36">
        <f>'Income Statement'!N28</f>
        <v/>
      </c>
      <c r="O5" s="36">
        <f>'Income Statement'!O28</f>
        <v/>
      </c>
      <c r="P5" s="36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36">
        <f>'Income Statement'!G18</f>
        <v/>
      </c>
      <c r="H6" s="36">
        <f>'Income Statement'!H18</f>
        <v/>
      </c>
      <c r="I6" s="36">
        <f>'Income Statement'!I18</f>
        <v/>
      </c>
      <c r="J6" s="36">
        <f>'Income Statement'!J18</f>
        <v/>
      </c>
      <c r="K6" s="36">
        <f>'Income Statement'!K18</f>
        <v/>
      </c>
      <c r="L6" s="36">
        <f>'Income Statement'!L18</f>
        <v/>
      </c>
      <c r="M6" s="36">
        <f>'Income Statement'!M18</f>
        <v/>
      </c>
      <c r="N6" s="36">
        <f>'Income Statement'!N18</f>
        <v/>
      </c>
      <c r="O6" s="36">
        <f>'Income Statement'!O18</f>
        <v/>
      </c>
      <c r="P6" s="36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36">
        <f>-('Balance Sheet'!G6-'Balance Sheet'!F6)</f>
        <v/>
      </c>
      <c r="H7" s="36">
        <f>-('Balance Sheet'!H6-'Balance Sheet'!G6)</f>
        <v/>
      </c>
      <c r="I7" s="36">
        <f>-('Balance Sheet'!I6-'Balance Sheet'!H6)</f>
        <v/>
      </c>
      <c r="J7" s="36">
        <f>-('Balance Sheet'!J6-'Balance Sheet'!I6)</f>
        <v/>
      </c>
      <c r="K7" s="36">
        <f>-('Balance Sheet'!K6-'Balance Sheet'!J6)</f>
        <v/>
      </c>
      <c r="L7" s="36">
        <f>-('Balance Sheet'!L6-'Balance Sheet'!K6)</f>
        <v/>
      </c>
      <c r="M7" s="36">
        <f>-('Balance Sheet'!M6-'Balance Sheet'!L6)</f>
        <v/>
      </c>
      <c r="N7" s="36">
        <f>-('Balance Sheet'!N6-'Balance Sheet'!M6)</f>
        <v/>
      </c>
      <c r="O7" s="36">
        <f>-('Balance Sheet'!O6-'Balance Sheet'!N6)</f>
        <v/>
      </c>
      <c r="P7" s="36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36">
        <f>'Balance Sheet'!G17-'Balance Sheet'!F17</f>
        <v/>
      </c>
      <c r="H8" s="36">
        <f>'Balance Sheet'!H17-'Balance Sheet'!G17</f>
        <v/>
      </c>
      <c r="I8" s="36">
        <f>'Balance Sheet'!I17-'Balance Sheet'!H17</f>
        <v/>
      </c>
      <c r="J8" s="36">
        <f>'Balance Sheet'!J17-'Balance Sheet'!I17</f>
        <v/>
      </c>
      <c r="K8" s="36">
        <f>'Balance Sheet'!K17-'Balance Sheet'!J17</f>
        <v/>
      </c>
      <c r="L8" s="36">
        <f>'Balance Sheet'!L17-'Balance Sheet'!K17</f>
        <v/>
      </c>
      <c r="M8" s="36">
        <f>'Balance Sheet'!M17-'Balance Sheet'!L17</f>
        <v/>
      </c>
      <c r="N8" s="36">
        <f>'Balance Sheet'!N17-'Balance Sheet'!M17</f>
        <v/>
      </c>
      <c r="O8" s="36">
        <f>'Balance Sheet'!O17-'Balance Sheet'!N17</f>
        <v/>
      </c>
      <c r="P8" s="36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36">
        <f>-('Balance Sheet'!G12-'Balance Sheet'!F12)</f>
        <v/>
      </c>
      <c r="H9" s="36">
        <f>-('Balance Sheet'!H12-'Balance Sheet'!G12)</f>
        <v/>
      </c>
      <c r="I9" s="36">
        <f>-('Balance Sheet'!I12-'Balance Sheet'!H12)</f>
        <v/>
      </c>
      <c r="J9" s="36">
        <f>-('Balance Sheet'!J12-'Balance Sheet'!I12)</f>
        <v/>
      </c>
      <c r="K9" s="36">
        <f>-('Balance Sheet'!K12-'Balance Sheet'!J12)</f>
        <v/>
      </c>
      <c r="L9" s="36">
        <f>-('Balance Sheet'!L12-'Balance Sheet'!K12)</f>
        <v/>
      </c>
      <c r="M9" s="36">
        <f>-('Balance Sheet'!M12-'Balance Sheet'!L12)</f>
        <v/>
      </c>
      <c r="N9" s="36">
        <f>-('Balance Sheet'!N12-'Balance Sheet'!M12)</f>
        <v/>
      </c>
      <c r="O9" s="36">
        <f>-('Balance Sheet'!O12-'Balance Sheet'!N12)</f>
        <v/>
      </c>
      <c r="P9" s="36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38" t="n">
        <v>236</v>
      </c>
      <c r="C10" s="38" t="n">
        <v>251.8</v>
      </c>
      <c r="D10" s="38" t="n">
        <v>273.9</v>
      </c>
      <c r="E10" s="38" t="n">
        <v>287.5</v>
      </c>
      <c r="F10" s="38" t="n">
        <v>312.8</v>
      </c>
      <c r="G10" s="37">
        <f>SUM(G5:G9)</f>
        <v/>
      </c>
      <c r="H10" s="37">
        <f>SUM(H5:H9)</f>
        <v/>
      </c>
      <c r="I10" s="37">
        <f>SUM(I5:I9)</f>
        <v/>
      </c>
      <c r="J10" s="37">
        <f>SUM(J5:J9)</f>
        <v/>
      </c>
      <c r="K10" s="37">
        <f>SUM(K5:K9)</f>
        <v/>
      </c>
      <c r="L10" s="37">
        <f>SUM(L5:L9)</f>
        <v/>
      </c>
      <c r="M10" s="37">
        <f>SUM(M5:M9)</f>
        <v/>
      </c>
      <c r="N10" s="37">
        <f>SUM(N5:N9)</f>
        <v/>
      </c>
      <c r="O10" s="37">
        <f>SUM(O5:O9)</f>
        <v/>
      </c>
      <c r="P10" s="37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36">
        <f>-REFM!G15</f>
        <v/>
      </c>
      <c r="H13" s="36">
        <f>-REFM!H15</f>
        <v/>
      </c>
      <c r="I13" s="36">
        <f>-REFM!I15</f>
        <v/>
      </c>
      <c r="J13" s="36">
        <f>-REFM!J15</f>
        <v/>
      </c>
      <c r="K13" s="36">
        <f>-REFM!K15</f>
        <v/>
      </c>
      <c r="L13" s="36">
        <f>-REFM!L15</f>
        <v/>
      </c>
      <c r="M13" s="36">
        <f>-REFM!M15</f>
        <v/>
      </c>
      <c r="N13" s="36">
        <f>-REFM!N15</f>
        <v/>
      </c>
      <c r="O13" s="36">
        <f>-REFM!O15</f>
        <v/>
      </c>
      <c r="P13" s="36">
        <f>-REFM!P15</f>
        <v/>
      </c>
    </row>
    <row r="14">
      <c r="A14" s="17" t="inlineStr">
        <is>
          <t xml:space="preserve">  Net Cash from Investing Activities</t>
        </is>
      </c>
      <c r="B14" s="38" t="n">
        <v>-280</v>
      </c>
      <c r="C14" s="38" t="n">
        <v>-305</v>
      </c>
      <c r="D14" s="38" t="n">
        <v>-330</v>
      </c>
      <c r="E14" s="38" t="n">
        <v>-355</v>
      </c>
      <c r="F14" s="38" t="n">
        <v>-380</v>
      </c>
      <c r="G14" s="37">
        <f>G13</f>
        <v/>
      </c>
      <c r="H14" s="37">
        <f>H13</f>
        <v/>
      </c>
      <c r="I14" s="37">
        <f>I13</f>
        <v/>
      </c>
      <c r="J14" s="37">
        <f>J13</f>
        <v/>
      </c>
      <c r="K14" s="37">
        <f>K13</f>
        <v/>
      </c>
      <c r="L14" s="37">
        <f>L13</f>
        <v/>
      </c>
      <c r="M14" s="37">
        <f>M13</f>
        <v/>
      </c>
      <c r="N14" s="37">
        <f>N13</f>
        <v/>
      </c>
      <c r="O14" s="37">
        <f>O13</f>
        <v/>
      </c>
      <c r="P14" s="37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36">
        <f>Assumptions!G48</f>
        <v/>
      </c>
      <c r="H17" s="36">
        <f>Assumptions!H48</f>
        <v/>
      </c>
      <c r="I17" s="36">
        <f>Assumptions!I48</f>
        <v/>
      </c>
      <c r="J17" s="36">
        <f>Assumptions!J48</f>
        <v/>
      </c>
      <c r="K17" s="36">
        <f>Assumptions!K48</f>
        <v/>
      </c>
      <c r="L17" s="36">
        <f>Assumptions!L48</f>
        <v/>
      </c>
      <c r="M17" s="36">
        <f>Assumptions!M48</f>
        <v/>
      </c>
      <c r="N17" s="36">
        <f>Assumptions!N48</f>
        <v/>
      </c>
      <c r="O17" s="36">
        <f>Assumptions!O48</f>
        <v/>
      </c>
      <c r="P17" s="36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36">
        <f>-Assumptions!G49</f>
        <v/>
      </c>
      <c r="H18" s="36">
        <f>-Assumptions!H49</f>
        <v/>
      </c>
      <c r="I18" s="36">
        <f>-Assumptions!I49</f>
        <v/>
      </c>
      <c r="J18" s="36">
        <f>-Assumptions!J49</f>
        <v/>
      </c>
      <c r="K18" s="36">
        <f>-Assumptions!K49</f>
        <v/>
      </c>
      <c r="L18" s="36">
        <f>-Assumptions!L49</f>
        <v/>
      </c>
      <c r="M18" s="36">
        <f>-Assumptions!M49</f>
        <v/>
      </c>
      <c r="N18" s="36">
        <f>-Assumptions!N49</f>
        <v/>
      </c>
      <c r="O18" s="36">
        <f>-Assumptions!O49</f>
        <v/>
      </c>
      <c r="P18" s="36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36">
        <f>-'Income Statement'!G29</f>
        <v/>
      </c>
      <c r="H19" s="36">
        <f>-'Income Statement'!H29</f>
        <v/>
      </c>
      <c r="I19" s="36">
        <f>-'Income Statement'!I29</f>
        <v/>
      </c>
      <c r="J19" s="36">
        <f>-'Income Statement'!J29</f>
        <v/>
      </c>
      <c r="K19" s="36">
        <f>-'Income Statement'!K29</f>
        <v/>
      </c>
      <c r="L19" s="36">
        <f>-'Income Statement'!L29</f>
        <v/>
      </c>
      <c r="M19" s="36">
        <f>-'Income Statement'!M29</f>
        <v/>
      </c>
      <c r="N19" s="36">
        <f>-'Income Statement'!N29</f>
        <v/>
      </c>
      <c r="O19" s="36">
        <f>-'Income Statement'!O29</f>
        <v/>
      </c>
      <c r="P19" s="36">
        <f>-'Income Statement'!P29</f>
        <v/>
      </c>
    </row>
    <row r="20">
      <c r="A20" s="17" t="inlineStr">
        <is>
          <t xml:space="preserve">  Net Cash from Financing Activities</t>
        </is>
      </c>
      <c r="B20" s="38" t="n">
        <v>54.3</v>
      </c>
      <c r="C20" s="38" t="n">
        <v>54.4</v>
      </c>
      <c r="D20" s="38" t="n">
        <v>49.6</v>
      </c>
      <c r="E20" s="38" t="n">
        <v>58.6</v>
      </c>
      <c r="F20" s="38" t="n">
        <v>56.5</v>
      </c>
      <c r="G20" s="37">
        <f>G17+G18+G19</f>
        <v/>
      </c>
      <c r="H20" s="37">
        <f>H17+H18+H19</f>
        <v/>
      </c>
      <c r="I20" s="37">
        <f>I17+I18+I19</f>
        <v/>
      </c>
      <c r="J20" s="37">
        <f>J17+J18+J19</f>
        <v/>
      </c>
      <c r="K20" s="37">
        <f>K17+K18+K19</f>
        <v/>
      </c>
      <c r="L20" s="37">
        <f>L17+L18+L19</f>
        <v/>
      </c>
      <c r="M20" s="37">
        <f>M17+M18+M19</f>
        <v/>
      </c>
      <c r="N20" s="37">
        <f>N17+N18+N19</f>
        <v/>
      </c>
      <c r="O20" s="37">
        <f>O17+O18+O19</f>
        <v/>
      </c>
      <c r="P20" s="37">
        <f>P17+P18+P19</f>
        <v/>
      </c>
    </row>
    <row r="22">
      <c r="A22" s="17" t="inlineStr">
        <is>
          <t>Net Change in Cash</t>
        </is>
      </c>
      <c r="B22" s="38" t="n">
        <v>10.3</v>
      </c>
      <c r="C22" s="38" t="n">
        <v>1.2</v>
      </c>
      <c r="D22" s="38" t="n">
        <v>-6.5</v>
      </c>
      <c r="E22" s="38" t="n">
        <v>-8.9</v>
      </c>
      <c r="F22" s="38" t="n">
        <v>-10.7</v>
      </c>
      <c r="G22" s="37">
        <f>G10+G14+G20</f>
        <v/>
      </c>
      <c r="H22" s="37">
        <f>H10+H14+H20</f>
        <v/>
      </c>
      <c r="I22" s="37">
        <f>I10+I14+I20</f>
        <v/>
      </c>
      <c r="J22" s="37">
        <f>J10+J14+J20</f>
        <v/>
      </c>
      <c r="K22" s="37">
        <f>K10+K14+K20</f>
        <v/>
      </c>
      <c r="L22" s="37">
        <f>L10+L14+L20</f>
        <v/>
      </c>
      <c r="M22" s="37">
        <f>M10+M14+M20</f>
        <v/>
      </c>
      <c r="N22" s="37">
        <f>N10+N14+N20</f>
        <v/>
      </c>
      <c r="O22" s="37">
        <f>O10+O14+O20</f>
        <v/>
      </c>
      <c r="P22" s="37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36">
        <f>'Balance Sheet'!F5</f>
        <v/>
      </c>
      <c r="H23" s="36">
        <f>G24</f>
        <v/>
      </c>
      <c r="I23" s="36">
        <f>H24</f>
        <v/>
      </c>
      <c r="J23" s="36">
        <f>I24</f>
        <v/>
      </c>
      <c r="K23" s="36">
        <f>J24</f>
        <v/>
      </c>
      <c r="L23" s="36">
        <f>K24</f>
        <v/>
      </c>
      <c r="M23" s="36">
        <f>L24</f>
        <v/>
      </c>
      <c r="N23" s="36">
        <f>M24</f>
        <v/>
      </c>
      <c r="O23" s="36">
        <f>N24</f>
        <v/>
      </c>
      <c r="P23" s="36">
        <f>O24</f>
        <v/>
      </c>
    </row>
    <row r="24">
      <c r="A24" s="17" t="inlineStr">
        <is>
          <t>Closing Cash Balance</t>
        </is>
      </c>
      <c r="B24" s="38" t="n">
        <v>130.3</v>
      </c>
      <c r="C24" s="38" t="n">
        <v>131.5</v>
      </c>
      <c r="D24" s="38" t="n">
        <v>125</v>
      </c>
      <c r="E24" s="38" t="n">
        <v>116.1</v>
      </c>
      <c r="F24" s="38" t="n">
        <v>105.4</v>
      </c>
      <c r="G24" s="37">
        <f>G23+G22</f>
        <v/>
      </c>
      <c r="H24" s="37">
        <f>H23+H22</f>
        <v/>
      </c>
      <c r="I24" s="37">
        <f>I23+I22</f>
        <v/>
      </c>
      <c r="J24" s="37">
        <f>J23+J22</f>
        <v/>
      </c>
      <c r="K24" s="37">
        <f>K23+K22</f>
        <v/>
      </c>
      <c r="L24" s="37">
        <f>L23+L22</f>
        <v/>
      </c>
      <c r="M24" s="37">
        <f>M23+M22</f>
        <v/>
      </c>
      <c r="N24" s="37">
        <f>N23+N22</f>
        <v/>
      </c>
      <c r="O24" s="37">
        <f>O23+O22</f>
        <v/>
      </c>
      <c r="P24" s="37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4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36">
        <f>'Balance Sheet'!G14</f>
        <v/>
      </c>
      <c r="H5" s="36">
        <f>'Balance Sheet'!H14</f>
        <v/>
      </c>
      <c r="I5" s="36">
        <f>'Balance Sheet'!I14</f>
        <v/>
      </c>
      <c r="J5" s="36">
        <f>'Balance Sheet'!J14</f>
        <v/>
      </c>
      <c r="K5" s="36">
        <f>'Balance Sheet'!K14</f>
        <v/>
      </c>
      <c r="L5" s="36">
        <f>'Balance Sheet'!L14</f>
        <v/>
      </c>
      <c r="M5" s="36">
        <f>'Balance Sheet'!M14</f>
        <v/>
      </c>
      <c r="N5" s="36">
        <f>'Balance Sheet'!N14</f>
        <v/>
      </c>
      <c r="O5" s="36">
        <f>'Balance Sheet'!O14</f>
        <v/>
      </c>
      <c r="P5" s="36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36">
        <f>'Balance Sheet'!G29</f>
        <v/>
      </c>
      <c r="H6" s="36">
        <f>'Balance Sheet'!H29</f>
        <v/>
      </c>
      <c r="I6" s="36">
        <f>'Balance Sheet'!I29</f>
        <v/>
      </c>
      <c r="J6" s="36">
        <f>'Balance Sheet'!J29</f>
        <v/>
      </c>
      <c r="K6" s="36">
        <f>'Balance Sheet'!K29</f>
        <v/>
      </c>
      <c r="L6" s="36">
        <f>'Balance Sheet'!L29</f>
        <v/>
      </c>
      <c r="M6" s="36">
        <f>'Balance Sheet'!M29</f>
        <v/>
      </c>
      <c r="N6" s="36">
        <f>'Balance Sheet'!N29</f>
        <v/>
      </c>
      <c r="O6" s="36">
        <f>'Balance Sheet'!O29</f>
        <v/>
      </c>
      <c r="P6" s="36">
        <f>'Balance Sheet'!P29</f>
        <v/>
      </c>
    </row>
    <row r="7">
      <c r="A7" s="17" t="inlineStr">
        <is>
          <t xml:space="preserve">  Discrepancy (target = 0)</t>
        </is>
      </c>
      <c r="B7" s="45">
        <f>B5-B6</f>
        <v/>
      </c>
      <c r="C7" s="45">
        <f>C5-C6</f>
        <v/>
      </c>
      <c r="D7" s="45">
        <f>D5-D6</f>
        <v/>
      </c>
      <c r="E7" s="45">
        <f>E5-E6</f>
        <v/>
      </c>
      <c r="F7" s="45">
        <f>F5-F6</f>
        <v/>
      </c>
      <c r="G7" s="46">
        <f>G5-G6</f>
        <v/>
      </c>
      <c r="H7" s="46">
        <f>H5-H6</f>
        <v/>
      </c>
      <c r="I7" s="46">
        <f>I5-I6</f>
        <v/>
      </c>
      <c r="J7" s="46">
        <f>J5-J6</f>
        <v/>
      </c>
      <c r="K7" s="46">
        <f>K5-K6</f>
        <v/>
      </c>
      <c r="L7" s="46">
        <f>L5-L6</f>
        <v/>
      </c>
      <c r="M7" s="46">
        <f>M5-M6</f>
        <v/>
      </c>
      <c r="N7" s="46">
        <f>N5-N6</f>
        <v/>
      </c>
      <c r="O7" s="46">
        <f>O5-O6</f>
        <v/>
      </c>
      <c r="P7" s="46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36">
        <f>'Balance Sheet'!G5</f>
        <v/>
      </c>
      <c r="H10" s="36">
        <f>'Balance Sheet'!H5</f>
        <v/>
      </c>
      <c r="I10" s="36">
        <f>'Balance Sheet'!I5</f>
        <v/>
      </c>
      <c r="J10" s="36">
        <f>'Balance Sheet'!J5</f>
        <v/>
      </c>
      <c r="K10" s="36">
        <f>'Balance Sheet'!K5</f>
        <v/>
      </c>
      <c r="L10" s="36">
        <f>'Balance Sheet'!L5</f>
        <v/>
      </c>
      <c r="M10" s="36">
        <f>'Balance Sheet'!M5</f>
        <v/>
      </c>
      <c r="N10" s="36">
        <f>'Balance Sheet'!N5</f>
        <v/>
      </c>
      <c r="O10" s="36">
        <f>'Balance Sheet'!O5</f>
        <v/>
      </c>
      <c r="P10" s="36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36">
        <f>'Cash Flow'!G24</f>
        <v/>
      </c>
      <c r="H11" s="36">
        <f>'Cash Flow'!H24</f>
        <v/>
      </c>
      <c r="I11" s="36">
        <f>'Cash Flow'!I24</f>
        <v/>
      </c>
      <c r="J11" s="36">
        <f>'Cash Flow'!J24</f>
        <v/>
      </c>
      <c r="K11" s="36">
        <f>'Cash Flow'!K24</f>
        <v/>
      </c>
      <c r="L11" s="36">
        <f>'Cash Flow'!L24</f>
        <v/>
      </c>
      <c r="M11" s="36">
        <f>'Cash Flow'!M24</f>
        <v/>
      </c>
      <c r="N11" s="36">
        <f>'Cash Flow'!N24</f>
        <v/>
      </c>
      <c r="O11" s="36">
        <f>'Cash Flow'!O24</f>
        <v/>
      </c>
      <c r="P11" s="36">
        <f>'Cash Flow'!P24</f>
        <v/>
      </c>
    </row>
    <row r="12">
      <c r="A12" s="17" t="inlineStr">
        <is>
          <t xml:space="preserve">  Discrepancy (target = 0)</t>
        </is>
      </c>
      <c r="B12" s="45">
        <f>B10-B11</f>
        <v/>
      </c>
      <c r="C12" s="45">
        <f>C10-C11</f>
        <v/>
      </c>
      <c r="D12" s="45">
        <f>D10-D11</f>
        <v/>
      </c>
      <c r="E12" s="45">
        <f>E10-E11</f>
        <v/>
      </c>
      <c r="F12" s="45">
        <f>F10-F11</f>
        <v/>
      </c>
      <c r="G12" s="46">
        <f>G10-G11</f>
        <v/>
      </c>
      <c r="H12" s="46">
        <f>H10-H11</f>
        <v/>
      </c>
      <c r="I12" s="46">
        <f>I10-I11</f>
        <v/>
      </c>
      <c r="J12" s="46">
        <f>J10-J11</f>
        <v/>
      </c>
      <c r="K12" s="46">
        <f>K10-K11</f>
        <v/>
      </c>
      <c r="L12" s="46">
        <f>L10-L11</f>
        <v/>
      </c>
      <c r="M12" s="46">
        <f>M10-M11</f>
        <v/>
      </c>
      <c r="N12" s="46">
        <f>N10-N11</f>
        <v/>
      </c>
      <c r="O12" s="46">
        <f>O10-O11</f>
        <v/>
      </c>
      <c r="P12" s="46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36">
        <f>RAB!G9</f>
        <v/>
      </c>
      <c r="H15" s="36">
        <f>RAB!H9</f>
        <v/>
      </c>
      <c r="I15" s="36">
        <f>RAB!I9</f>
        <v/>
      </c>
      <c r="J15" s="36">
        <f>RAB!J9</f>
        <v/>
      </c>
      <c r="K15" s="36">
        <f>RAB!K9</f>
        <v/>
      </c>
      <c r="L15" s="36">
        <f>RAB!L9</f>
        <v/>
      </c>
      <c r="M15" s="36">
        <f>RAB!M9</f>
        <v/>
      </c>
      <c r="N15" s="36">
        <f>RAB!N9</f>
        <v/>
      </c>
      <c r="O15" s="36">
        <f>RAB!O9</f>
        <v/>
      </c>
      <c r="P15" s="36">
        <f>RAB!P9</f>
        <v/>
      </c>
    </row>
    <row r="16">
      <c r="A16" s="17" t="inlineStr">
        <is>
          <t xml:space="preserve">  Discrepancy (target = 0)</t>
        </is>
      </c>
      <c r="B16" s="45">
        <f>B15-B15</f>
        <v/>
      </c>
      <c r="C16" s="45">
        <f>C15-C15</f>
        <v/>
      </c>
      <c r="D16" s="45">
        <f>D15-D15</f>
        <v/>
      </c>
      <c r="E16" s="45">
        <f>E15-E15</f>
        <v/>
      </c>
      <c r="F16" s="45">
        <f>F15-F15</f>
        <v/>
      </c>
      <c r="G16" s="46">
        <f>G15-G15</f>
        <v/>
      </c>
      <c r="H16" s="46">
        <f>H15-H15</f>
        <v/>
      </c>
      <c r="I16" s="46">
        <f>I15-I15</f>
        <v/>
      </c>
      <c r="J16" s="46">
        <f>J15-J15</f>
        <v/>
      </c>
      <c r="K16" s="46">
        <f>K15-K15</f>
        <v/>
      </c>
      <c r="L16" s="46">
        <f>L15-L15</f>
        <v/>
      </c>
      <c r="M16" s="46">
        <f>M15-M15</f>
        <v/>
      </c>
      <c r="N16" s="46">
        <f>N15-N15</f>
        <v/>
      </c>
      <c r="O16" s="46">
        <f>O15-O15</f>
        <v/>
      </c>
      <c r="P16" s="46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2026-04-05T10:25:41Z</dcterms:created>
  <dcterms:modified xsi:type="dcterms:W3CDTF">2026-04-05T10:25:41Z</dcterms:modified>
</cp:coreProperties>
</file>